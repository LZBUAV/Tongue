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10740"/>
  </bookViews>
  <sheets>
    <sheet name="Sheet1" sheetId="1" r:id="rId1"/>
  </sheets>
  <definedNames>
    <definedName name="_xlnm._FilterDatabase" localSheetId="0" hidden="1">Sheet1!$A$1:$K$225</definedName>
  </definedNames>
  <calcPr calcId="144525"/>
</workbook>
</file>

<file path=xl/comments1.xml><?xml version="1.0" encoding="utf-8"?>
<comments xmlns="http://schemas.openxmlformats.org/spreadsheetml/2006/main">
  <authors>
    <author>李粮博</author>
  </authors>
  <commentList>
    <comment ref="B1" authorId="0">
      <text>
        <r>
          <rPr>
            <sz val="9"/>
            <rFont val="宋体"/>
            <charset val="134"/>
          </rPr>
          <t xml:space="preserve">1：男
2：女
</t>
        </r>
      </text>
    </comment>
    <comment ref="D1" authorId="0">
      <text>
        <r>
          <rPr>
            <sz val="9"/>
            <rFont val="宋体"/>
            <charset val="134"/>
          </rPr>
          <t>1：低分化
2：中分化
3：高分化</t>
        </r>
      </text>
    </comment>
    <comment ref="F1" authorId="0">
      <text>
        <r>
          <rPr>
            <sz val="9"/>
            <rFont val="宋体"/>
            <charset val="134"/>
          </rPr>
          <t>1：是
0：否</t>
        </r>
      </text>
    </comment>
    <comment ref="G1" authorId="0">
      <text>
        <r>
          <rPr>
            <sz val="9"/>
            <rFont val="宋体"/>
            <charset val="134"/>
          </rPr>
          <t>高危组：1
低危组：0</t>
        </r>
      </text>
    </comment>
    <comment ref="I1" authorId="0">
      <text>
        <r>
          <rPr>
            <sz val="9"/>
            <rFont val="宋体"/>
            <charset val="134"/>
          </rPr>
          <t xml:space="preserve">LMR=
</t>
        </r>
      </text>
    </comment>
  </commentList>
</comments>
</file>

<file path=xl/sharedStrings.xml><?xml version="1.0" encoding="utf-8"?>
<sst xmlns="http://schemas.openxmlformats.org/spreadsheetml/2006/main" count="235" uniqueCount="26">
  <si>
    <t>序号</t>
  </si>
  <si>
    <t>性别</t>
  </si>
  <si>
    <t>年龄</t>
  </si>
  <si>
    <t>分化类型</t>
  </si>
  <si>
    <t>TNM</t>
  </si>
  <si>
    <t>淋巴结是否转移</t>
  </si>
  <si>
    <t>高/低危组</t>
  </si>
  <si>
    <t>前SIRI</t>
  </si>
  <si>
    <t>前LMR</t>
  </si>
  <si>
    <t>前PLR</t>
  </si>
  <si>
    <t>前NLR</t>
  </si>
  <si>
    <t>T2N1</t>
  </si>
  <si>
    <t>T2N0</t>
  </si>
  <si>
    <t>标红数字为截断值</t>
  </si>
  <si>
    <t>T2N2</t>
  </si>
  <si>
    <t>T1N0</t>
  </si>
  <si>
    <t>T1N2</t>
  </si>
  <si>
    <t>T3N0</t>
  </si>
  <si>
    <t>T1NO</t>
  </si>
  <si>
    <t>T1N1</t>
  </si>
  <si>
    <t>T3N2</t>
  </si>
  <si>
    <t>T3N1</t>
  </si>
  <si>
    <t>T2N3</t>
  </si>
  <si>
    <t>T1N3</t>
  </si>
  <si>
    <t>T1NI</t>
  </si>
  <si>
    <t>T3N3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</si>
</sst>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0.000_ "/>
  </numFmts>
  <fonts count="29">
    <font>
      <sz val="11"/>
      <color theme="1"/>
      <name val="宋体"/>
      <charset val="134"/>
      <scheme val="minor"/>
    </font>
    <font>
      <b/>
      <sz val="11"/>
      <color theme="1"/>
      <name val="Microsoft YaHei"/>
      <charset val="134"/>
    </font>
    <font>
      <b/>
      <sz val="10"/>
      <color theme="1"/>
      <name val="Microsoft YaHei"/>
      <charset val="134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8"/>
      <color theme="1"/>
      <name val="宋体"/>
      <charset val="134"/>
      <scheme val="minor"/>
    </font>
    <font>
      <b/>
      <sz val="10"/>
      <color rgb="FFFF0000"/>
      <name val="Microsoft YaHei"/>
      <charset val="134"/>
    </font>
    <font>
      <b/>
      <sz val="11"/>
      <color rgb="FFFF0000"/>
      <name val="宋体"/>
      <charset val="134"/>
      <scheme val="minor"/>
    </font>
    <font>
      <b/>
      <sz val="10"/>
      <color rgb="FF7030A0"/>
      <name val="Microsoft YaHei"/>
      <charset val="134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3" fillId="9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3" borderId="4" applyNumberFormat="0" applyFon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2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23" fillId="20" borderId="5" applyNumberFormat="0" applyAlignment="0" applyProtection="0">
      <alignment vertical="center"/>
    </xf>
    <xf numFmtId="0" fontId="21" fillId="20" borderId="3" applyNumberFormat="0" applyAlignment="0" applyProtection="0">
      <alignment vertical="center"/>
    </xf>
    <xf numFmtId="0" fontId="26" fillId="27" borderId="8" applyNumberFormat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76" fontId="0" fillId="0" borderId="0" xfId="0" applyNumberFormat="1" applyFill="1" applyBorder="1" applyAlignment="1">
      <alignment vertical="center"/>
    </xf>
    <xf numFmtId="176" fontId="0" fillId="0" borderId="0" xfId="0" applyNumberFormat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76" fontId="2" fillId="0" borderId="0" xfId="0" applyNumberFormat="1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76" fontId="3" fillId="0" borderId="0" xfId="0" applyNumberFormat="1" applyFont="1" applyFill="1" applyBorder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6" fontId="2" fillId="0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>
      <alignment vertical="center"/>
    </xf>
    <xf numFmtId="176" fontId="6" fillId="0" borderId="0" xfId="0" applyNumberFormat="1" applyFont="1" applyFill="1" applyBorder="1" applyAlignment="1">
      <alignment horizontal="center" vertical="center" wrapText="1"/>
    </xf>
    <xf numFmtId="176" fontId="7" fillId="0" borderId="0" xfId="0" applyNumberFormat="1" applyFont="1" applyAlignment="1">
      <alignment horizontal="center" vertical="center"/>
    </xf>
    <xf numFmtId="0" fontId="8" fillId="0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176" fontId="8" fillId="0" borderId="0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25"/>
  <sheetViews>
    <sheetView tabSelected="1" workbookViewId="0">
      <selection activeCell="N8" sqref="N8"/>
    </sheetView>
  </sheetViews>
  <sheetFormatPr defaultColWidth="8.88888888888889" defaultRowHeight="14.4"/>
  <cols>
    <col min="1" max="2" width="8.88888888888889" style="1"/>
    <col min="3" max="3" width="9" style="1" customWidth="1"/>
    <col min="4" max="7" width="15.6666666666667" style="1" customWidth="1"/>
    <col min="8" max="8" width="17.8888888888889" style="2" customWidth="1"/>
    <col min="9" max="9" width="15.7777777777778" style="1" customWidth="1"/>
    <col min="10" max="10" width="12.2222222222222" style="3" customWidth="1"/>
    <col min="11" max="11" width="14.2222222222222" style="3" customWidth="1"/>
  </cols>
  <sheetData>
    <row r="1" ht="16.2" spans="1:1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6" t="s">
        <v>7</v>
      </c>
      <c r="I1" s="6" t="s">
        <v>8</v>
      </c>
      <c r="J1" s="13" t="s">
        <v>9</v>
      </c>
      <c r="K1" s="13" t="s">
        <v>10</v>
      </c>
    </row>
    <row r="2" ht="15.6" spans="1:11">
      <c r="A2" s="7">
        <v>17</v>
      </c>
      <c r="B2" s="7">
        <v>2</v>
      </c>
      <c r="C2" s="7">
        <v>59</v>
      </c>
      <c r="D2" s="7">
        <v>2</v>
      </c>
      <c r="E2" s="7" t="s">
        <v>11</v>
      </c>
      <c r="F2" s="7">
        <v>1</v>
      </c>
      <c r="G2" s="8">
        <v>1</v>
      </c>
      <c r="H2" s="9">
        <v>0.0221889400921659</v>
      </c>
      <c r="I2" s="14">
        <f>C2/D2</f>
        <v>29.5</v>
      </c>
      <c r="J2" s="13">
        <v>483.870967741935</v>
      </c>
      <c r="K2" s="13">
        <v>1.23271889400922</v>
      </c>
    </row>
    <row r="3" ht="15.6" spans="1:14">
      <c r="A3" s="7">
        <v>13</v>
      </c>
      <c r="B3" s="7">
        <v>2</v>
      </c>
      <c r="C3" s="7">
        <v>65</v>
      </c>
      <c r="D3" s="7">
        <v>3</v>
      </c>
      <c r="E3" s="7" t="s">
        <v>12</v>
      </c>
      <c r="F3" s="7">
        <v>0</v>
      </c>
      <c r="G3" s="8">
        <v>0</v>
      </c>
      <c r="H3" s="9">
        <v>0.030728285077951</v>
      </c>
      <c r="I3" s="14">
        <f>C3/D3</f>
        <v>21.6666666666667</v>
      </c>
      <c r="J3" s="13">
        <v>717.149220489978</v>
      </c>
      <c r="K3" s="13">
        <v>1.1380846325167</v>
      </c>
      <c r="L3" s="15" t="s">
        <v>13</v>
      </c>
      <c r="M3" s="16"/>
      <c r="N3" s="16"/>
    </row>
    <row r="4" ht="15.6" spans="1:11">
      <c r="A4" s="7">
        <v>15</v>
      </c>
      <c r="B4" s="7">
        <v>2</v>
      </c>
      <c r="C4" s="7">
        <v>62</v>
      </c>
      <c r="D4" s="7">
        <v>3</v>
      </c>
      <c r="E4" s="7" t="s">
        <v>11</v>
      </c>
      <c r="F4" s="7">
        <v>0</v>
      </c>
      <c r="G4" s="8">
        <v>0</v>
      </c>
      <c r="H4" s="9">
        <v>0.0311734317343173</v>
      </c>
      <c r="I4" s="14">
        <f>C4/D4</f>
        <v>20.6666666666667</v>
      </c>
      <c r="J4" s="13">
        <v>483.394833948339</v>
      </c>
      <c r="K4" s="13">
        <v>0.708487084870849</v>
      </c>
    </row>
    <row r="5" ht="15.6" spans="1:11">
      <c r="A5" s="7">
        <v>76</v>
      </c>
      <c r="B5" s="7">
        <v>2</v>
      </c>
      <c r="C5" s="7">
        <v>34</v>
      </c>
      <c r="D5" s="7">
        <v>3</v>
      </c>
      <c r="E5" s="7" t="s">
        <v>12</v>
      </c>
      <c r="F5" s="7">
        <v>0</v>
      </c>
      <c r="G5" s="8">
        <v>0</v>
      </c>
      <c r="H5" s="9">
        <v>0.0362068965517241</v>
      </c>
      <c r="I5" s="14">
        <f>C5/D5</f>
        <v>11.3333333333333</v>
      </c>
      <c r="J5" s="13">
        <v>306.896551724138</v>
      </c>
      <c r="K5" s="13">
        <v>0.603448275862069</v>
      </c>
    </row>
    <row r="6" ht="15.6" spans="1:11">
      <c r="A6" s="7">
        <v>206</v>
      </c>
      <c r="B6" s="10">
        <v>2</v>
      </c>
      <c r="C6" s="10">
        <v>85</v>
      </c>
      <c r="D6" s="10">
        <v>2</v>
      </c>
      <c r="E6" s="10" t="s">
        <v>11</v>
      </c>
      <c r="F6" s="10">
        <v>0</v>
      </c>
      <c r="G6" s="8">
        <v>0</v>
      </c>
      <c r="H6" s="9">
        <v>0.0412965235173824</v>
      </c>
      <c r="I6" s="14">
        <f>C6/D6</f>
        <v>42.5</v>
      </c>
      <c r="J6" s="13">
        <v>284.253578732106</v>
      </c>
      <c r="K6" s="13">
        <v>0.897750511247444</v>
      </c>
    </row>
    <row r="7" ht="15.6" spans="1:11">
      <c r="A7" s="7">
        <v>77</v>
      </c>
      <c r="B7" s="7">
        <v>2</v>
      </c>
      <c r="C7" s="7">
        <v>53</v>
      </c>
      <c r="D7" s="7">
        <v>3</v>
      </c>
      <c r="E7" s="7" t="s">
        <v>12</v>
      </c>
      <c r="F7" s="7">
        <v>0</v>
      </c>
      <c r="G7" s="8">
        <v>0</v>
      </c>
      <c r="H7" s="9">
        <v>0.0414324324324324</v>
      </c>
      <c r="I7" s="14">
        <f>C7/D7</f>
        <v>17.6666666666667</v>
      </c>
      <c r="J7" s="13">
        <v>545.045045045045</v>
      </c>
      <c r="K7" s="13">
        <v>1.1509009009009</v>
      </c>
    </row>
    <row r="8" ht="15.6" spans="1:14">
      <c r="A8" s="7">
        <v>191</v>
      </c>
      <c r="B8" s="7">
        <v>1</v>
      </c>
      <c r="C8" s="7">
        <v>56</v>
      </c>
      <c r="D8" s="7">
        <v>2</v>
      </c>
      <c r="E8" s="7" t="s">
        <v>14</v>
      </c>
      <c r="F8" s="7">
        <v>1</v>
      </c>
      <c r="G8" s="8">
        <v>0</v>
      </c>
      <c r="H8" s="9">
        <v>0.0439195612431444</v>
      </c>
      <c r="I8" s="14">
        <f>C8/D8</f>
        <v>28</v>
      </c>
      <c r="J8" s="13">
        <v>254.113345521024</v>
      </c>
      <c r="K8" s="13">
        <v>0.6654478976234</v>
      </c>
      <c r="N8" s="17"/>
    </row>
    <row r="9" ht="15.6" spans="1:11">
      <c r="A9" s="7">
        <v>176</v>
      </c>
      <c r="B9" s="7">
        <v>2</v>
      </c>
      <c r="C9" s="7">
        <v>71</v>
      </c>
      <c r="D9" s="7">
        <v>3</v>
      </c>
      <c r="E9" s="7" t="s">
        <v>12</v>
      </c>
      <c r="F9" s="7">
        <v>0</v>
      </c>
      <c r="G9" s="8">
        <v>0</v>
      </c>
      <c r="H9" s="9">
        <v>0.0442809917355372</v>
      </c>
      <c r="I9" s="14">
        <f>C9/D9</f>
        <v>23.6666666666667</v>
      </c>
      <c r="J9" s="13">
        <v>427.685950413223</v>
      </c>
      <c r="K9" s="13">
        <v>0.942148760330579</v>
      </c>
    </row>
    <row r="10" ht="15.6" spans="1:11">
      <c r="A10" s="7">
        <v>65</v>
      </c>
      <c r="B10" s="7">
        <v>2</v>
      </c>
      <c r="C10" s="7">
        <v>70</v>
      </c>
      <c r="D10" s="7">
        <v>3</v>
      </c>
      <c r="E10" s="7" t="s">
        <v>15</v>
      </c>
      <c r="F10" s="7">
        <v>0</v>
      </c>
      <c r="G10" s="8">
        <v>0</v>
      </c>
      <c r="H10" s="9">
        <v>0.0451724137931034</v>
      </c>
      <c r="I10" s="14">
        <f>C10/D10</f>
        <v>23.3333333333333</v>
      </c>
      <c r="J10" s="13">
        <v>471.264367816092</v>
      </c>
      <c r="K10" s="13">
        <v>0.752873563218391</v>
      </c>
    </row>
    <row r="11" ht="15.6" spans="1:11">
      <c r="A11" s="7">
        <v>205</v>
      </c>
      <c r="B11" s="10">
        <v>1</v>
      </c>
      <c r="C11" s="10">
        <v>58</v>
      </c>
      <c r="D11" s="10">
        <v>2</v>
      </c>
      <c r="E11" s="10" t="s">
        <v>14</v>
      </c>
      <c r="F11" s="10">
        <v>0</v>
      </c>
      <c r="G11" s="8">
        <v>0</v>
      </c>
      <c r="H11" s="9">
        <v>0.0476036446469248</v>
      </c>
      <c r="I11" s="14">
        <f>C11/D11</f>
        <v>29</v>
      </c>
      <c r="J11" s="13">
        <v>583.143507972665</v>
      </c>
      <c r="K11" s="13">
        <v>1.10706150341686</v>
      </c>
    </row>
    <row r="12" ht="15.6" spans="1:11">
      <c r="A12" s="7">
        <v>188</v>
      </c>
      <c r="B12" s="7">
        <v>2</v>
      </c>
      <c r="C12" s="7">
        <v>32</v>
      </c>
      <c r="D12" s="7">
        <v>3</v>
      </c>
      <c r="E12" s="7" t="s">
        <v>12</v>
      </c>
      <c r="F12" s="7">
        <v>0</v>
      </c>
      <c r="G12" s="8">
        <v>0</v>
      </c>
      <c r="H12" s="9">
        <v>0.0496363636363636</v>
      </c>
      <c r="I12" s="14">
        <f>C12/D12</f>
        <v>10.6666666666667</v>
      </c>
      <c r="J12" s="13">
        <v>634.297520661157</v>
      </c>
      <c r="K12" s="13">
        <v>0.886363636363636</v>
      </c>
    </row>
    <row r="13" ht="15.6" spans="1:11">
      <c r="A13" s="7">
        <v>190</v>
      </c>
      <c r="B13" s="7">
        <v>1</v>
      </c>
      <c r="C13" s="7">
        <v>61</v>
      </c>
      <c r="D13" s="7">
        <v>1</v>
      </c>
      <c r="E13" s="7" t="s">
        <v>15</v>
      </c>
      <c r="F13" s="7">
        <v>0</v>
      </c>
      <c r="G13" s="8">
        <v>0</v>
      </c>
      <c r="H13" s="9">
        <v>0.0513984375</v>
      </c>
      <c r="I13" s="14">
        <f>C13/D13</f>
        <v>61</v>
      </c>
      <c r="J13" s="13">
        <v>564.453125</v>
      </c>
      <c r="K13" s="13">
        <v>0.755859375</v>
      </c>
    </row>
    <row r="14" ht="15.6" spans="1:11">
      <c r="A14" s="7">
        <v>181</v>
      </c>
      <c r="B14" s="7">
        <v>1</v>
      </c>
      <c r="C14" s="7">
        <v>72</v>
      </c>
      <c r="D14" s="7">
        <v>2</v>
      </c>
      <c r="E14" s="7" t="s">
        <v>15</v>
      </c>
      <c r="F14" s="7">
        <v>0</v>
      </c>
      <c r="G14" s="8">
        <v>0</v>
      </c>
      <c r="H14" s="9">
        <v>0.0528099173553719</v>
      </c>
      <c r="I14" s="14">
        <f>C14/D14</f>
        <v>36</v>
      </c>
      <c r="J14" s="13">
        <v>469.00826446281</v>
      </c>
      <c r="K14" s="13">
        <v>0.880165289256198</v>
      </c>
    </row>
    <row r="15" ht="15.6" spans="1:11">
      <c r="A15" s="7">
        <v>1</v>
      </c>
      <c r="B15" s="7">
        <v>2</v>
      </c>
      <c r="C15" s="7">
        <v>49</v>
      </c>
      <c r="D15" s="7">
        <v>3</v>
      </c>
      <c r="E15" s="7" t="s">
        <v>15</v>
      </c>
      <c r="F15" s="7">
        <v>0</v>
      </c>
      <c r="G15" s="8">
        <v>0</v>
      </c>
      <c r="H15" s="9">
        <v>0.0548942307692308</v>
      </c>
      <c r="I15" s="14">
        <f>C15/D15</f>
        <v>16.3333333333333</v>
      </c>
      <c r="J15" s="13">
        <v>439.903846153846</v>
      </c>
      <c r="K15" s="13">
        <v>1.24759615384615</v>
      </c>
    </row>
    <row r="16" ht="15.6" spans="1:11">
      <c r="A16" s="7">
        <v>30</v>
      </c>
      <c r="B16" s="7">
        <v>2</v>
      </c>
      <c r="C16" s="7">
        <v>48</v>
      </c>
      <c r="D16" s="7">
        <v>2</v>
      </c>
      <c r="E16" s="7" t="s">
        <v>16</v>
      </c>
      <c r="F16" s="7">
        <v>1</v>
      </c>
      <c r="G16" s="8">
        <v>1</v>
      </c>
      <c r="H16" s="9">
        <v>0.0566893424036281</v>
      </c>
      <c r="I16" s="14">
        <f>C16/D16</f>
        <v>24</v>
      </c>
      <c r="J16" s="13">
        <v>426.303854875283</v>
      </c>
      <c r="K16" s="13">
        <v>1.13378684807256</v>
      </c>
    </row>
    <row r="17" ht="15.6" spans="1:11">
      <c r="A17" s="7">
        <v>34</v>
      </c>
      <c r="B17" s="7">
        <v>1</v>
      </c>
      <c r="C17" s="7">
        <v>61</v>
      </c>
      <c r="D17" s="7">
        <v>3</v>
      </c>
      <c r="E17" s="7" t="s">
        <v>17</v>
      </c>
      <c r="F17" s="7">
        <v>0</v>
      </c>
      <c r="G17" s="8">
        <v>0</v>
      </c>
      <c r="H17" s="9">
        <v>0.0570226700251889</v>
      </c>
      <c r="I17" s="14">
        <f>C17/D17</f>
        <v>20.3333333333333</v>
      </c>
      <c r="J17" s="13">
        <v>405.541561712846</v>
      </c>
      <c r="K17" s="13">
        <v>1.35768261964736</v>
      </c>
    </row>
    <row r="18" ht="15.6" spans="1:11">
      <c r="A18" s="7">
        <v>163</v>
      </c>
      <c r="B18" s="7">
        <v>2</v>
      </c>
      <c r="C18" s="7">
        <v>55</v>
      </c>
      <c r="D18" s="7">
        <v>3</v>
      </c>
      <c r="E18" s="7" t="s">
        <v>15</v>
      </c>
      <c r="F18" s="7">
        <v>0</v>
      </c>
      <c r="G18" s="8">
        <v>0</v>
      </c>
      <c r="H18" s="9">
        <v>0.0582960199004975</v>
      </c>
      <c r="I18" s="14">
        <f>C18/D18</f>
        <v>18.3333333333333</v>
      </c>
      <c r="J18" s="13">
        <v>614.427860696517</v>
      </c>
      <c r="K18" s="13">
        <v>1.35572139303483</v>
      </c>
    </row>
    <row r="19" ht="15.6" spans="1:11">
      <c r="A19" s="7">
        <v>106</v>
      </c>
      <c r="B19" s="7">
        <v>1</v>
      </c>
      <c r="C19" s="7">
        <v>68</v>
      </c>
      <c r="D19" s="7">
        <v>3</v>
      </c>
      <c r="E19" s="7" t="s">
        <v>12</v>
      </c>
      <c r="F19" s="7">
        <v>0</v>
      </c>
      <c r="G19" s="8">
        <v>0</v>
      </c>
      <c r="H19" s="9">
        <v>0.0583608490566038</v>
      </c>
      <c r="I19" s="14">
        <f>C19/D19</f>
        <v>22.6666666666667</v>
      </c>
      <c r="J19" s="13">
        <v>264.150943396226</v>
      </c>
      <c r="K19" s="13">
        <v>1.19103773584906</v>
      </c>
    </row>
    <row r="20" ht="15.6" spans="1:11">
      <c r="A20" s="7">
        <v>43</v>
      </c>
      <c r="B20" s="7">
        <v>2</v>
      </c>
      <c r="C20" s="7">
        <v>27</v>
      </c>
      <c r="D20" s="7">
        <v>3</v>
      </c>
      <c r="E20" s="7" t="s">
        <v>16</v>
      </c>
      <c r="F20" s="7">
        <v>1</v>
      </c>
      <c r="G20" s="8">
        <v>0</v>
      </c>
      <c r="H20" s="9">
        <v>0.0596056034482759</v>
      </c>
      <c r="I20" s="14">
        <f>C20/D20</f>
        <v>9</v>
      </c>
      <c r="J20" s="13">
        <v>568.965517241379</v>
      </c>
      <c r="K20" s="13">
        <v>0.946120689655172</v>
      </c>
    </row>
    <row r="21" ht="15.6" spans="1:11">
      <c r="A21" s="7">
        <v>84</v>
      </c>
      <c r="B21" s="7">
        <v>2</v>
      </c>
      <c r="C21" s="7">
        <v>49</v>
      </c>
      <c r="D21" s="7">
        <v>3</v>
      </c>
      <c r="E21" s="7" t="s">
        <v>11</v>
      </c>
      <c r="F21" s="7">
        <v>1</v>
      </c>
      <c r="G21" s="8">
        <v>0</v>
      </c>
      <c r="H21" s="9">
        <v>0.0599430379746835</v>
      </c>
      <c r="I21" s="14">
        <f>C21/D21</f>
        <v>16.3333333333333</v>
      </c>
      <c r="J21" s="13">
        <v>341.772151898734</v>
      </c>
      <c r="K21" s="13">
        <v>0.951476793248945</v>
      </c>
    </row>
    <row r="22" ht="15.6" spans="1:11">
      <c r="A22" s="7">
        <v>25</v>
      </c>
      <c r="B22" s="7">
        <v>2</v>
      </c>
      <c r="C22" s="7">
        <v>70</v>
      </c>
      <c r="D22" s="7">
        <v>3</v>
      </c>
      <c r="E22" s="7" t="s">
        <v>12</v>
      </c>
      <c r="F22" s="7">
        <v>0</v>
      </c>
      <c r="G22" s="8">
        <v>0</v>
      </c>
      <c r="H22" s="9">
        <v>0.0609843400447427</v>
      </c>
      <c r="I22" s="14">
        <f>C22/D22</f>
        <v>23.3333333333333</v>
      </c>
      <c r="J22" s="13">
        <v>420.581655480984</v>
      </c>
      <c r="K22" s="13">
        <v>1.05145413870246</v>
      </c>
    </row>
    <row r="23" ht="15.6" spans="1:11">
      <c r="A23" s="7">
        <v>57</v>
      </c>
      <c r="B23" s="7">
        <v>1</v>
      </c>
      <c r="C23" s="7">
        <v>53</v>
      </c>
      <c r="D23" s="7">
        <v>3</v>
      </c>
      <c r="E23" s="7" t="s">
        <v>11</v>
      </c>
      <c r="F23" s="7">
        <v>1</v>
      </c>
      <c r="G23" s="8">
        <v>0</v>
      </c>
      <c r="H23" s="9">
        <v>0.0638841201716738</v>
      </c>
      <c r="I23" s="14">
        <f>C23/D23</f>
        <v>17.6666666666667</v>
      </c>
      <c r="J23" s="13">
        <v>255.364806866953</v>
      </c>
      <c r="K23" s="13">
        <v>0.982832618025751</v>
      </c>
    </row>
    <row r="24" ht="15.6" spans="1:11">
      <c r="A24" s="7">
        <v>22</v>
      </c>
      <c r="B24" s="7">
        <v>1</v>
      </c>
      <c r="C24" s="7">
        <v>34</v>
      </c>
      <c r="D24" s="7">
        <v>2</v>
      </c>
      <c r="E24" s="7" t="s">
        <v>17</v>
      </c>
      <c r="F24" s="7">
        <v>0</v>
      </c>
      <c r="G24" s="8">
        <v>0</v>
      </c>
      <c r="H24" s="9">
        <v>0.0651522988505747</v>
      </c>
      <c r="I24" s="14">
        <f>C24/D24</f>
        <v>17</v>
      </c>
      <c r="J24" s="13">
        <v>577.586206896552</v>
      </c>
      <c r="K24" s="13">
        <v>1.58908045977012</v>
      </c>
    </row>
    <row r="25" ht="15.6" spans="1:11">
      <c r="A25" s="7">
        <v>186</v>
      </c>
      <c r="B25" s="7">
        <v>1</v>
      </c>
      <c r="C25" s="7">
        <v>44</v>
      </c>
      <c r="D25" s="7">
        <v>3</v>
      </c>
      <c r="E25" s="7" t="s">
        <v>14</v>
      </c>
      <c r="F25" s="7">
        <v>0</v>
      </c>
      <c r="G25" s="8">
        <v>0</v>
      </c>
      <c r="H25" s="9">
        <v>0.0659038461538462</v>
      </c>
      <c r="I25" s="14">
        <f>C25/D25</f>
        <v>14.6666666666667</v>
      </c>
      <c r="J25" s="13">
        <v>363.247863247863</v>
      </c>
      <c r="K25" s="13">
        <v>0.955128205128205</v>
      </c>
    </row>
    <row r="26" ht="15.6" spans="1:11">
      <c r="A26" s="7">
        <v>104</v>
      </c>
      <c r="B26" s="7">
        <v>2</v>
      </c>
      <c r="C26" s="7">
        <v>24</v>
      </c>
      <c r="D26" s="7">
        <v>2</v>
      </c>
      <c r="E26" s="7" t="s">
        <v>17</v>
      </c>
      <c r="F26" s="7">
        <v>0</v>
      </c>
      <c r="G26" s="8">
        <v>0</v>
      </c>
      <c r="H26" s="9">
        <v>0.066</v>
      </c>
      <c r="I26" s="14">
        <f>C26/D26</f>
        <v>12</v>
      </c>
      <c r="J26" s="13">
        <v>605.405405405405</v>
      </c>
      <c r="K26" s="13">
        <v>1.5</v>
      </c>
    </row>
    <row r="27" ht="15.6" spans="1:11">
      <c r="A27" s="7">
        <v>168</v>
      </c>
      <c r="B27" s="7">
        <v>2</v>
      </c>
      <c r="C27" s="7">
        <v>62</v>
      </c>
      <c r="D27" s="7">
        <v>3</v>
      </c>
      <c r="E27" s="7" t="s">
        <v>12</v>
      </c>
      <c r="F27" s="7">
        <v>0</v>
      </c>
      <c r="G27" s="8">
        <v>0</v>
      </c>
      <c r="H27" s="9">
        <v>0.0665963302752294</v>
      </c>
      <c r="I27" s="14">
        <f>C27/D27</f>
        <v>20.6666666666667</v>
      </c>
      <c r="J27" s="13">
        <v>470.183486238532</v>
      </c>
      <c r="K27" s="13">
        <v>1.09174311926605</v>
      </c>
    </row>
    <row r="28" ht="15.6" spans="1:11">
      <c r="A28" s="7">
        <v>217</v>
      </c>
      <c r="B28" s="10">
        <v>2</v>
      </c>
      <c r="C28" s="10">
        <v>41</v>
      </c>
      <c r="D28" s="10">
        <v>3</v>
      </c>
      <c r="E28" s="10" t="s">
        <v>15</v>
      </c>
      <c r="F28" s="10">
        <v>0</v>
      </c>
      <c r="G28" s="11">
        <v>0</v>
      </c>
      <c r="H28" s="12">
        <v>0.0666409495548961</v>
      </c>
      <c r="I28" s="14">
        <f>C28/D28</f>
        <v>13.6666666666667</v>
      </c>
      <c r="J28" s="13">
        <v>448.071216617211</v>
      </c>
      <c r="K28" s="13">
        <v>1.75370919881306</v>
      </c>
    </row>
    <row r="29" ht="15.6" spans="1:11">
      <c r="A29" s="7">
        <v>20</v>
      </c>
      <c r="B29" s="7">
        <v>1</v>
      </c>
      <c r="C29" s="7">
        <v>41</v>
      </c>
      <c r="D29" s="7">
        <v>3</v>
      </c>
      <c r="E29" s="7" t="s">
        <v>11</v>
      </c>
      <c r="F29" s="7">
        <v>1</v>
      </c>
      <c r="G29" s="8">
        <v>1</v>
      </c>
      <c r="H29" s="9">
        <v>0.0667298578199052</v>
      </c>
      <c r="I29" s="14">
        <f>C29/D29</f>
        <v>13.6666666666667</v>
      </c>
      <c r="J29" s="13">
        <v>433.649289099526</v>
      </c>
      <c r="K29" s="13">
        <v>1.21327014218009</v>
      </c>
    </row>
    <row r="30" ht="15.6" spans="1:11">
      <c r="A30" s="7">
        <v>19</v>
      </c>
      <c r="B30" s="7">
        <v>1</v>
      </c>
      <c r="C30" s="7">
        <v>62</v>
      </c>
      <c r="D30" s="7">
        <v>3</v>
      </c>
      <c r="E30" s="7" t="s">
        <v>15</v>
      </c>
      <c r="F30" s="7">
        <v>0</v>
      </c>
      <c r="G30" s="8">
        <v>0</v>
      </c>
      <c r="H30" s="9">
        <v>0.0670638820638821</v>
      </c>
      <c r="I30" s="14">
        <f>C30/D30</f>
        <v>20.6666666666667</v>
      </c>
      <c r="J30" s="13">
        <v>398.034398034398</v>
      </c>
      <c r="K30" s="13">
        <v>1.26535626535627</v>
      </c>
    </row>
    <row r="31" ht="15.6" spans="1:11">
      <c r="A31" s="7">
        <v>116</v>
      </c>
      <c r="B31" s="7">
        <v>2</v>
      </c>
      <c r="C31" s="7">
        <v>76</v>
      </c>
      <c r="D31" s="7">
        <v>3</v>
      </c>
      <c r="E31" s="7" t="s">
        <v>12</v>
      </c>
      <c r="F31" s="7">
        <v>0</v>
      </c>
      <c r="G31" s="8">
        <v>0</v>
      </c>
      <c r="H31" s="9">
        <v>0.0682621082621083</v>
      </c>
      <c r="I31" s="14">
        <f>C31/D31</f>
        <v>25.3333333333333</v>
      </c>
      <c r="J31" s="13">
        <v>529.91452991453</v>
      </c>
      <c r="K31" s="13">
        <v>1.70655270655271</v>
      </c>
    </row>
    <row r="32" ht="15.6" spans="1:11">
      <c r="A32" s="7">
        <v>143</v>
      </c>
      <c r="B32" s="7">
        <v>1</v>
      </c>
      <c r="C32" s="7">
        <v>75</v>
      </c>
      <c r="D32" s="7">
        <v>2</v>
      </c>
      <c r="E32" s="7" t="s">
        <v>11</v>
      </c>
      <c r="F32" s="7">
        <v>1</v>
      </c>
      <c r="G32" s="8">
        <v>1</v>
      </c>
      <c r="H32" s="9">
        <v>0.069509138381201</v>
      </c>
      <c r="I32" s="14">
        <f>C32/D32</f>
        <v>37.5</v>
      </c>
      <c r="J32" s="13">
        <v>415.143603133159</v>
      </c>
      <c r="K32" s="13">
        <v>1.28720626631854</v>
      </c>
    </row>
    <row r="33" ht="15.6" spans="1:11">
      <c r="A33" s="7">
        <v>82</v>
      </c>
      <c r="B33" s="7">
        <v>2</v>
      </c>
      <c r="C33" s="7">
        <v>36</v>
      </c>
      <c r="D33" s="7">
        <v>3</v>
      </c>
      <c r="E33" s="7" t="s">
        <v>14</v>
      </c>
      <c r="F33" s="7">
        <v>1</v>
      </c>
      <c r="G33" s="8">
        <v>1</v>
      </c>
      <c r="H33" s="9">
        <v>0.0697664233576642</v>
      </c>
      <c r="I33" s="14">
        <f>C33/D33</f>
        <v>12</v>
      </c>
      <c r="J33" s="13">
        <v>535.279805352798</v>
      </c>
      <c r="K33" s="13">
        <v>1.18248175182482</v>
      </c>
    </row>
    <row r="34" ht="15.6" spans="1:11">
      <c r="A34" s="7">
        <v>221</v>
      </c>
      <c r="B34" s="10">
        <v>2</v>
      </c>
      <c r="C34" s="10">
        <v>28</v>
      </c>
      <c r="D34" s="10">
        <v>1</v>
      </c>
      <c r="E34" s="10" t="s">
        <v>14</v>
      </c>
      <c r="F34" s="10">
        <v>1</v>
      </c>
      <c r="G34" s="11">
        <v>1</v>
      </c>
      <c r="H34" s="12">
        <v>0.0712322274881517</v>
      </c>
      <c r="I34" s="14">
        <f>C34/D34</f>
        <v>28</v>
      </c>
      <c r="J34" s="13">
        <v>552.132701421801</v>
      </c>
      <c r="K34" s="13">
        <v>1.18720379146919</v>
      </c>
    </row>
    <row r="35" ht="15.6" spans="1:11">
      <c r="A35" s="7">
        <v>107</v>
      </c>
      <c r="B35" s="7">
        <v>2</v>
      </c>
      <c r="C35" s="7">
        <v>51</v>
      </c>
      <c r="D35" s="7">
        <v>3</v>
      </c>
      <c r="E35" s="7" t="s">
        <v>15</v>
      </c>
      <c r="F35" s="7">
        <v>0</v>
      </c>
      <c r="G35" s="8">
        <v>0</v>
      </c>
      <c r="H35" s="9">
        <v>0.0712758620689655</v>
      </c>
      <c r="I35" s="14">
        <f>C35/D35</f>
        <v>17</v>
      </c>
      <c r="J35" s="13">
        <v>370.114942528736</v>
      </c>
      <c r="K35" s="13">
        <v>1.09655172413793</v>
      </c>
    </row>
    <row r="36" ht="15.6" spans="1:11">
      <c r="A36" s="7">
        <v>171</v>
      </c>
      <c r="B36" s="7">
        <v>2</v>
      </c>
      <c r="C36" s="7">
        <v>54</v>
      </c>
      <c r="D36" s="7">
        <v>3</v>
      </c>
      <c r="E36" s="7" t="s">
        <v>18</v>
      </c>
      <c r="F36" s="7">
        <v>0</v>
      </c>
      <c r="G36" s="8">
        <v>0</v>
      </c>
      <c r="H36" s="9">
        <v>0.0720636604774536</v>
      </c>
      <c r="I36" s="14">
        <f>C36/D36</f>
        <v>18</v>
      </c>
      <c r="J36" s="13">
        <v>496.021220159151</v>
      </c>
      <c r="K36" s="13">
        <v>1.50132625994695</v>
      </c>
    </row>
    <row r="37" ht="15.6" spans="1:11">
      <c r="A37" s="7">
        <v>194</v>
      </c>
      <c r="B37" s="7">
        <v>2</v>
      </c>
      <c r="C37" s="7">
        <v>54</v>
      </c>
      <c r="D37" s="7">
        <v>3</v>
      </c>
      <c r="E37" s="7" t="s">
        <v>15</v>
      </c>
      <c r="F37" s="7">
        <v>0</v>
      </c>
      <c r="G37" s="8">
        <v>0</v>
      </c>
      <c r="H37" s="9">
        <v>0.0729186602870813</v>
      </c>
      <c r="I37" s="14">
        <f>C37/D37</f>
        <v>18</v>
      </c>
      <c r="J37" s="13">
        <v>586.124401913876</v>
      </c>
      <c r="K37" s="13">
        <v>1.21531100478469</v>
      </c>
    </row>
    <row r="38" ht="15.6" spans="1:11">
      <c r="A38" s="7">
        <v>215</v>
      </c>
      <c r="B38" s="10">
        <v>1</v>
      </c>
      <c r="C38" s="10">
        <v>35</v>
      </c>
      <c r="D38" s="10">
        <v>2</v>
      </c>
      <c r="E38" s="10" t="s">
        <v>12</v>
      </c>
      <c r="F38" s="10">
        <v>0</v>
      </c>
      <c r="G38" s="11">
        <v>0</v>
      </c>
      <c r="H38" s="12">
        <v>0.0751230425055928</v>
      </c>
      <c r="I38" s="14">
        <f>C38/D38</f>
        <v>17.5</v>
      </c>
      <c r="J38" s="13">
        <v>440.715883668904</v>
      </c>
      <c r="K38" s="13">
        <v>1.02908277404922</v>
      </c>
    </row>
    <row r="39" ht="15.6" spans="1:11">
      <c r="A39" s="7">
        <v>86</v>
      </c>
      <c r="B39" s="7">
        <v>1</v>
      </c>
      <c r="C39" s="7">
        <v>50</v>
      </c>
      <c r="D39" s="7">
        <v>2</v>
      </c>
      <c r="E39" s="7" t="s">
        <v>12</v>
      </c>
      <c r="F39" s="7">
        <v>0</v>
      </c>
      <c r="G39" s="8">
        <v>0</v>
      </c>
      <c r="H39" s="9">
        <v>0.0756609756097561</v>
      </c>
      <c r="I39" s="14">
        <f>C39/D39</f>
        <v>25</v>
      </c>
      <c r="J39" s="13">
        <v>512.19512195122</v>
      </c>
      <c r="K39" s="13">
        <v>1.12926829268293</v>
      </c>
    </row>
    <row r="40" ht="15.6" spans="1:11">
      <c r="A40" s="7">
        <v>27</v>
      </c>
      <c r="B40" s="7">
        <v>2</v>
      </c>
      <c r="C40" s="7">
        <v>73</v>
      </c>
      <c r="D40" s="7">
        <v>3</v>
      </c>
      <c r="E40" s="7" t="s">
        <v>12</v>
      </c>
      <c r="F40" s="7">
        <v>0</v>
      </c>
      <c r="G40" s="8">
        <v>0</v>
      </c>
      <c r="H40" s="9">
        <v>0.0757142857142857</v>
      </c>
      <c r="I40" s="14">
        <f>C40/D40</f>
        <v>24.3333333333333</v>
      </c>
      <c r="J40" s="13">
        <v>676.549865229111</v>
      </c>
      <c r="K40" s="13">
        <v>1.42857142857143</v>
      </c>
    </row>
    <row r="41" ht="15.6" spans="1:11">
      <c r="A41" s="7">
        <v>29</v>
      </c>
      <c r="B41" s="7">
        <v>2</v>
      </c>
      <c r="C41" s="7">
        <v>58</v>
      </c>
      <c r="D41" s="7">
        <v>2</v>
      </c>
      <c r="E41" s="7" t="s">
        <v>12</v>
      </c>
      <c r="F41" s="7">
        <v>0</v>
      </c>
      <c r="G41" s="8">
        <v>0</v>
      </c>
      <c r="H41" s="9">
        <v>0.0764205607476636</v>
      </c>
      <c r="I41" s="14">
        <f>C41/D41</f>
        <v>29</v>
      </c>
      <c r="J41" s="13">
        <v>441.588785046729</v>
      </c>
      <c r="K41" s="13">
        <v>1.12383177570093</v>
      </c>
    </row>
    <row r="42" ht="15.6" spans="1:11">
      <c r="A42" s="7">
        <v>94</v>
      </c>
      <c r="B42" s="7">
        <v>1</v>
      </c>
      <c r="C42" s="7">
        <v>40</v>
      </c>
      <c r="D42" s="7">
        <v>2</v>
      </c>
      <c r="E42" s="7" t="s">
        <v>12</v>
      </c>
      <c r="F42" s="7">
        <v>0</v>
      </c>
      <c r="G42" s="8">
        <v>0</v>
      </c>
      <c r="H42" s="9">
        <v>0.0768181818181818</v>
      </c>
      <c r="I42" s="14">
        <f>C42/D42</f>
        <v>20</v>
      </c>
      <c r="J42" s="13">
        <v>507.177033492823</v>
      </c>
      <c r="K42" s="13">
        <v>1.18181818181818</v>
      </c>
    </row>
    <row r="43" ht="15.6" spans="1:11">
      <c r="A43" s="7">
        <v>75</v>
      </c>
      <c r="B43" s="7">
        <v>2</v>
      </c>
      <c r="C43" s="7">
        <v>33</v>
      </c>
      <c r="D43" s="7">
        <v>2</v>
      </c>
      <c r="E43" s="7" t="s">
        <v>11</v>
      </c>
      <c r="F43" s="7">
        <v>1</v>
      </c>
      <c r="G43" s="8">
        <v>1</v>
      </c>
      <c r="H43" s="9">
        <v>0.0778592375366569</v>
      </c>
      <c r="I43" s="14">
        <f>C43/D43</f>
        <v>16.5</v>
      </c>
      <c r="J43" s="13">
        <v>1020.52785923754</v>
      </c>
      <c r="K43" s="13">
        <v>1.73020527859238</v>
      </c>
    </row>
    <row r="44" ht="15.6" spans="1:11">
      <c r="A44" s="7">
        <v>32</v>
      </c>
      <c r="B44" s="7">
        <v>2</v>
      </c>
      <c r="C44" s="7">
        <v>53</v>
      </c>
      <c r="D44" s="7">
        <v>3</v>
      </c>
      <c r="E44" s="7" t="s">
        <v>15</v>
      </c>
      <c r="F44" s="7">
        <v>0</v>
      </c>
      <c r="G44" s="8">
        <v>0</v>
      </c>
      <c r="H44" s="9">
        <v>0.0782068965517241</v>
      </c>
      <c r="I44" s="14">
        <f>C44/D44</f>
        <v>17.6666666666667</v>
      </c>
      <c r="J44" s="13">
        <v>588.669950738916</v>
      </c>
      <c r="K44" s="13">
        <v>1.24137931034483</v>
      </c>
    </row>
    <row r="45" ht="15.6" spans="1:11">
      <c r="A45" s="7">
        <v>170</v>
      </c>
      <c r="B45" s="7">
        <v>1</v>
      </c>
      <c r="C45" s="7">
        <v>43</v>
      </c>
      <c r="D45" s="7">
        <v>2</v>
      </c>
      <c r="E45" s="7" t="s">
        <v>17</v>
      </c>
      <c r="F45" s="7">
        <v>0</v>
      </c>
      <c r="G45" s="8">
        <v>0</v>
      </c>
      <c r="H45" s="9">
        <v>0.0800941176470588</v>
      </c>
      <c r="I45" s="14">
        <f>C45/D45</f>
        <v>21.5</v>
      </c>
      <c r="J45" s="13">
        <v>920.588235294118</v>
      </c>
      <c r="K45" s="13">
        <v>1.74117647058824</v>
      </c>
    </row>
    <row r="46" ht="15.6" spans="1:11">
      <c r="A46" s="7">
        <v>16</v>
      </c>
      <c r="B46" s="7">
        <v>1</v>
      </c>
      <c r="C46" s="7">
        <v>51</v>
      </c>
      <c r="D46" s="7">
        <v>3</v>
      </c>
      <c r="E46" s="7" t="s">
        <v>15</v>
      </c>
      <c r="F46" s="7">
        <v>0</v>
      </c>
      <c r="G46" s="8">
        <v>0</v>
      </c>
      <c r="H46" s="9">
        <v>0.0822680412371134</v>
      </c>
      <c r="I46" s="14">
        <f>C46/D46</f>
        <v>17</v>
      </c>
      <c r="J46" s="13">
        <v>492.268041237113</v>
      </c>
      <c r="K46" s="13">
        <v>1.37113402061856</v>
      </c>
    </row>
    <row r="47" ht="15.6" spans="1:11">
      <c r="A47" s="7">
        <v>68</v>
      </c>
      <c r="B47" s="7">
        <v>1</v>
      </c>
      <c r="C47" s="7">
        <v>40</v>
      </c>
      <c r="D47" s="7">
        <v>2</v>
      </c>
      <c r="E47" s="7" t="s">
        <v>14</v>
      </c>
      <c r="F47" s="7">
        <v>1</v>
      </c>
      <c r="G47" s="8">
        <v>1</v>
      </c>
      <c r="H47" s="9">
        <v>0.0824269406392694</v>
      </c>
      <c r="I47" s="14">
        <f>C47/D47</f>
        <v>20</v>
      </c>
      <c r="J47" s="13">
        <v>502.283105022831</v>
      </c>
      <c r="K47" s="13">
        <v>1.04337899543379</v>
      </c>
    </row>
    <row r="48" ht="15.6" spans="1:11">
      <c r="A48" s="7">
        <v>213</v>
      </c>
      <c r="B48" s="10">
        <v>1</v>
      </c>
      <c r="C48" s="10">
        <v>61</v>
      </c>
      <c r="D48" s="10">
        <v>3</v>
      </c>
      <c r="E48" s="10" t="s">
        <v>12</v>
      </c>
      <c r="F48" s="10">
        <v>0</v>
      </c>
      <c r="G48" s="11">
        <v>0</v>
      </c>
      <c r="H48" s="12">
        <v>0.0825365853658536</v>
      </c>
      <c r="I48" s="14">
        <f>C48/D48</f>
        <v>20.3333333333333</v>
      </c>
      <c r="J48" s="13">
        <v>444.444444444444</v>
      </c>
      <c r="K48" s="13">
        <v>1.52845528455285</v>
      </c>
    </row>
    <row r="49" ht="15.6" spans="1:11">
      <c r="A49" s="7">
        <v>105</v>
      </c>
      <c r="B49" s="7">
        <v>1</v>
      </c>
      <c r="C49" s="7">
        <v>34</v>
      </c>
      <c r="D49" s="7">
        <v>2</v>
      </c>
      <c r="E49" s="7" t="s">
        <v>12</v>
      </c>
      <c r="F49" s="7">
        <v>0</v>
      </c>
      <c r="G49" s="8">
        <v>0</v>
      </c>
      <c r="H49" s="9">
        <v>0.0826666666666667</v>
      </c>
      <c r="I49" s="14">
        <f>C49/D49</f>
        <v>17</v>
      </c>
      <c r="J49" s="13">
        <v>611.111111111111</v>
      </c>
      <c r="K49" s="13">
        <v>1.47619047619048</v>
      </c>
    </row>
    <row r="50" ht="15.6" spans="1:11">
      <c r="A50" s="7">
        <v>219</v>
      </c>
      <c r="B50" s="10">
        <v>2</v>
      </c>
      <c r="C50" s="10">
        <v>47</v>
      </c>
      <c r="D50" s="10">
        <v>2</v>
      </c>
      <c r="E50" s="10" t="s">
        <v>12</v>
      </c>
      <c r="F50" s="10">
        <v>0</v>
      </c>
      <c r="G50" s="11">
        <v>0</v>
      </c>
      <c r="H50" s="12">
        <v>0.0827333333333333</v>
      </c>
      <c r="I50" s="14">
        <f>C50/D50</f>
        <v>23.5</v>
      </c>
      <c r="J50" s="13">
        <v>621.428571428571</v>
      </c>
      <c r="K50" s="13">
        <v>1.13333333333333</v>
      </c>
    </row>
    <row r="51" ht="15.6" spans="1:11">
      <c r="A51" s="7">
        <v>182</v>
      </c>
      <c r="B51" s="7">
        <v>2</v>
      </c>
      <c r="C51" s="7">
        <v>35</v>
      </c>
      <c r="D51" s="7">
        <v>3</v>
      </c>
      <c r="E51" s="7" t="s">
        <v>15</v>
      </c>
      <c r="F51" s="7">
        <v>0</v>
      </c>
      <c r="G51" s="8">
        <v>0</v>
      </c>
      <c r="H51" s="9">
        <v>0.0836344410876133</v>
      </c>
      <c r="I51" s="14">
        <f>C51/D51</f>
        <v>11.6666666666667</v>
      </c>
      <c r="J51" s="13">
        <v>779.456193353474</v>
      </c>
      <c r="K51" s="13">
        <v>1.77945619335347</v>
      </c>
    </row>
    <row r="52" ht="15.6" spans="1:11">
      <c r="A52" s="7">
        <v>159</v>
      </c>
      <c r="B52" s="7">
        <v>1</v>
      </c>
      <c r="C52" s="7">
        <v>71</v>
      </c>
      <c r="D52" s="7">
        <v>3</v>
      </c>
      <c r="E52" s="7" t="s">
        <v>14</v>
      </c>
      <c r="F52" s="7">
        <v>1</v>
      </c>
      <c r="G52" s="8">
        <v>1</v>
      </c>
      <c r="H52" s="9">
        <v>0.0840249221183801</v>
      </c>
      <c r="I52" s="14">
        <f>C52/D52</f>
        <v>23.6666666666667</v>
      </c>
      <c r="J52" s="13">
        <v>813.084112149533</v>
      </c>
      <c r="K52" s="13">
        <v>1.90965732087227</v>
      </c>
    </row>
    <row r="53" ht="15.6" spans="1:11">
      <c r="A53" s="7">
        <v>47</v>
      </c>
      <c r="B53" s="7">
        <v>1</v>
      </c>
      <c r="C53" s="7">
        <v>53</v>
      </c>
      <c r="D53" s="7">
        <v>2</v>
      </c>
      <c r="E53" s="7" t="s">
        <v>15</v>
      </c>
      <c r="F53" s="7">
        <v>0</v>
      </c>
      <c r="G53" s="8">
        <v>0</v>
      </c>
      <c r="H53" s="9">
        <v>0.0840957446808511</v>
      </c>
      <c r="I53" s="14">
        <f>C53/D53</f>
        <v>26.5</v>
      </c>
      <c r="J53" s="13">
        <v>654.255319148936</v>
      </c>
      <c r="K53" s="13">
        <v>1.3563829787234</v>
      </c>
    </row>
    <row r="54" ht="15.6" spans="1:11">
      <c r="A54" s="7">
        <v>101</v>
      </c>
      <c r="B54" s="7">
        <v>1</v>
      </c>
      <c r="C54" s="7">
        <v>70</v>
      </c>
      <c r="D54" s="7">
        <v>2</v>
      </c>
      <c r="E54" s="7" t="s">
        <v>12</v>
      </c>
      <c r="F54" s="7">
        <v>0</v>
      </c>
      <c r="G54" s="8">
        <v>0</v>
      </c>
      <c r="H54" s="9">
        <v>0.0845806451612903</v>
      </c>
      <c r="I54" s="14">
        <f>C54/D54</f>
        <v>35</v>
      </c>
      <c r="J54" s="13">
        <v>453.763440860215</v>
      </c>
      <c r="K54" s="13">
        <v>0.939784946236559</v>
      </c>
    </row>
    <row r="55" ht="15.6" spans="1:11">
      <c r="A55" s="7">
        <v>50</v>
      </c>
      <c r="B55" s="7">
        <v>1</v>
      </c>
      <c r="C55" s="7">
        <v>63</v>
      </c>
      <c r="D55" s="7">
        <v>2</v>
      </c>
      <c r="E55" s="7" t="s">
        <v>19</v>
      </c>
      <c r="F55" s="7">
        <v>1</v>
      </c>
      <c r="G55" s="8">
        <v>0</v>
      </c>
      <c r="H55" s="9">
        <v>0.0866675675675676</v>
      </c>
      <c r="I55" s="14">
        <f>C55/D55</f>
        <v>31.5</v>
      </c>
      <c r="J55" s="13">
        <v>445.945945945946</v>
      </c>
      <c r="K55" s="13">
        <v>1.37567567567568</v>
      </c>
    </row>
    <row r="56" ht="15.6" spans="1:11">
      <c r="A56" s="7">
        <v>222</v>
      </c>
      <c r="B56" s="10">
        <v>1</v>
      </c>
      <c r="C56" s="10">
        <v>47</v>
      </c>
      <c r="D56" s="10">
        <v>3</v>
      </c>
      <c r="E56" s="10" t="s">
        <v>15</v>
      </c>
      <c r="F56" s="10">
        <v>0</v>
      </c>
      <c r="G56" s="11">
        <v>0</v>
      </c>
      <c r="H56" s="12">
        <v>0.0867231920199501</v>
      </c>
      <c r="I56" s="14">
        <f>C56/D56</f>
        <v>15.6666666666667</v>
      </c>
      <c r="J56" s="13">
        <v>623.441396508728</v>
      </c>
      <c r="K56" s="13">
        <v>1.2568578553616</v>
      </c>
    </row>
    <row r="57" ht="15.6" spans="1:11">
      <c r="A57" s="7">
        <v>180</v>
      </c>
      <c r="B57" s="7">
        <v>2</v>
      </c>
      <c r="C57" s="7">
        <v>30</v>
      </c>
      <c r="D57" s="7">
        <v>2</v>
      </c>
      <c r="E57" s="7" t="s">
        <v>11</v>
      </c>
      <c r="F57" s="7">
        <v>1</v>
      </c>
      <c r="G57" s="8">
        <v>1</v>
      </c>
      <c r="H57" s="9">
        <v>0.087032967032967</v>
      </c>
      <c r="I57" s="14">
        <f>C57/D57</f>
        <v>15</v>
      </c>
      <c r="J57" s="13">
        <v>1895.6043956044</v>
      </c>
      <c r="K57" s="13">
        <v>4.35164835164835</v>
      </c>
    </row>
    <row r="58" ht="15.6" spans="1:11">
      <c r="A58" s="7">
        <v>172</v>
      </c>
      <c r="B58" s="7">
        <v>1</v>
      </c>
      <c r="C58" s="7">
        <v>59</v>
      </c>
      <c r="D58" s="7">
        <v>3</v>
      </c>
      <c r="E58" s="7" t="s">
        <v>17</v>
      </c>
      <c r="F58" s="7">
        <v>0</v>
      </c>
      <c r="G58" s="8">
        <v>0</v>
      </c>
      <c r="H58" s="9">
        <v>0.0876812933025404</v>
      </c>
      <c r="I58" s="14">
        <f>C58/D58</f>
        <v>19.6666666666667</v>
      </c>
      <c r="J58" s="13">
        <v>676.674364896074</v>
      </c>
      <c r="K58" s="13">
        <v>1.06928406466513</v>
      </c>
    </row>
    <row r="59" ht="15.6" spans="1:11">
      <c r="A59" s="7">
        <v>187</v>
      </c>
      <c r="B59" s="7">
        <v>2</v>
      </c>
      <c r="C59" s="7">
        <v>77</v>
      </c>
      <c r="D59" s="7">
        <v>3</v>
      </c>
      <c r="E59" s="7" t="s">
        <v>15</v>
      </c>
      <c r="F59" s="7">
        <v>0</v>
      </c>
      <c r="G59" s="8">
        <v>0</v>
      </c>
      <c r="H59" s="9">
        <v>0.0877155172413793</v>
      </c>
      <c r="I59" s="14">
        <f>C59/D59</f>
        <v>25.6666666666667</v>
      </c>
      <c r="J59" s="13">
        <v>609.195402298851</v>
      </c>
      <c r="K59" s="13">
        <v>1.5948275862069</v>
      </c>
    </row>
    <row r="60" ht="15.6" spans="1:11">
      <c r="A60" s="7">
        <v>126</v>
      </c>
      <c r="B60" s="7">
        <v>1</v>
      </c>
      <c r="C60" s="7">
        <v>72</v>
      </c>
      <c r="D60" s="7">
        <v>2</v>
      </c>
      <c r="E60" s="7" t="s">
        <v>12</v>
      </c>
      <c r="F60" s="7">
        <v>0</v>
      </c>
      <c r="G60" s="8">
        <v>0</v>
      </c>
      <c r="H60" s="9">
        <v>0.0883733766233766</v>
      </c>
      <c r="I60" s="14">
        <f>C60/D60</f>
        <v>36</v>
      </c>
      <c r="J60" s="13">
        <v>522.727272727273</v>
      </c>
      <c r="K60" s="13">
        <v>2.05519480519481</v>
      </c>
    </row>
    <row r="61" ht="15.6" spans="1:11">
      <c r="A61" s="7">
        <v>54</v>
      </c>
      <c r="B61" s="7">
        <v>2</v>
      </c>
      <c r="C61" s="7">
        <v>35</v>
      </c>
      <c r="D61" s="7">
        <v>3</v>
      </c>
      <c r="E61" s="7" t="s">
        <v>15</v>
      </c>
      <c r="F61" s="7">
        <v>0</v>
      </c>
      <c r="G61" s="8">
        <v>0</v>
      </c>
      <c r="H61" s="9">
        <v>0.0891304347826087</v>
      </c>
      <c r="I61" s="14">
        <f>C61/D61</f>
        <v>11.6666666666667</v>
      </c>
      <c r="J61" s="13">
        <v>396.135265700483</v>
      </c>
      <c r="K61" s="13">
        <v>1.18840579710145</v>
      </c>
    </row>
    <row r="62" ht="15.6" spans="1:11">
      <c r="A62" s="7">
        <v>93</v>
      </c>
      <c r="B62" s="7">
        <v>1</v>
      </c>
      <c r="C62" s="7">
        <v>43</v>
      </c>
      <c r="D62" s="7">
        <v>3</v>
      </c>
      <c r="E62" s="7" t="s">
        <v>12</v>
      </c>
      <c r="F62" s="7">
        <v>0</v>
      </c>
      <c r="G62" s="8">
        <v>0</v>
      </c>
      <c r="H62" s="9">
        <v>0.0894061538461538</v>
      </c>
      <c r="I62" s="14">
        <f>C62/D62</f>
        <v>14.3333333333333</v>
      </c>
      <c r="J62" s="13">
        <v>870.769230769231</v>
      </c>
      <c r="K62" s="13">
        <v>1.82461538461538</v>
      </c>
    </row>
    <row r="63" ht="15.6" spans="1:11">
      <c r="A63" s="7">
        <v>175</v>
      </c>
      <c r="B63" s="7">
        <v>2</v>
      </c>
      <c r="C63" s="7">
        <v>62</v>
      </c>
      <c r="D63" s="7">
        <v>3</v>
      </c>
      <c r="E63" s="7" t="s">
        <v>19</v>
      </c>
      <c r="F63" s="7">
        <v>1</v>
      </c>
      <c r="G63" s="8">
        <v>0</v>
      </c>
      <c r="H63" s="9">
        <v>0.0895419847328244</v>
      </c>
      <c r="I63" s="14">
        <f>C63/D63</f>
        <v>20.6666666666667</v>
      </c>
      <c r="J63" s="13">
        <v>541.984732824428</v>
      </c>
      <c r="K63" s="13">
        <v>1.29770992366412</v>
      </c>
    </row>
    <row r="64" ht="15.6" spans="1:11">
      <c r="A64" s="7">
        <v>132</v>
      </c>
      <c r="B64" s="7">
        <v>2</v>
      </c>
      <c r="C64" s="7">
        <v>53</v>
      </c>
      <c r="D64" s="7">
        <v>3</v>
      </c>
      <c r="E64" s="7" t="s">
        <v>15</v>
      </c>
      <c r="F64" s="7">
        <v>0</v>
      </c>
      <c r="G64" s="8">
        <v>0</v>
      </c>
      <c r="H64" s="9">
        <v>0.0895714285714286</v>
      </c>
      <c r="I64" s="14">
        <f>C64/D64</f>
        <v>17.6666666666667</v>
      </c>
      <c r="J64" s="13">
        <v>745.098039215686</v>
      </c>
      <c r="K64" s="13">
        <v>1.57142857142857</v>
      </c>
    </row>
    <row r="65" ht="15.6" spans="1:11">
      <c r="A65" s="7">
        <v>125</v>
      </c>
      <c r="B65" s="7">
        <v>2</v>
      </c>
      <c r="C65" s="7">
        <v>49</v>
      </c>
      <c r="D65" s="7">
        <v>3</v>
      </c>
      <c r="E65" s="7" t="s">
        <v>12</v>
      </c>
      <c r="F65" s="7">
        <v>0</v>
      </c>
      <c r="G65" s="8">
        <v>0</v>
      </c>
      <c r="H65" s="9">
        <v>0.0896605316973415</v>
      </c>
      <c r="I65" s="14">
        <f>C65/D65</f>
        <v>16.3333333333333</v>
      </c>
      <c r="J65" s="13">
        <v>640.081799591002</v>
      </c>
      <c r="K65" s="13">
        <v>0.793456032719836</v>
      </c>
    </row>
    <row r="66" ht="15.6" spans="1:11">
      <c r="A66" s="7">
        <v>85</v>
      </c>
      <c r="B66" s="7">
        <v>1</v>
      </c>
      <c r="C66" s="7">
        <v>64</v>
      </c>
      <c r="D66" s="7">
        <v>3</v>
      </c>
      <c r="E66" s="7" t="s">
        <v>12</v>
      </c>
      <c r="F66" s="7">
        <v>0</v>
      </c>
      <c r="G66" s="8">
        <v>0</v>
      </c>
      <c r="H66" s="9">
        <v>0.0904347826086957</v>
      </c>
      <c r="I66" s="14">
        <f>C66/D66</f>
        <v>21.3333333333333</v>
      </c>
      <c r="J66" s="13">
        <v>483.091787439614</v>
      </c>
      <c r="K66" s="13">
        <v>1.15942028985507</v>
      </c>
    </row>
    <row r="67" ht="15.6" spans="1:11">
      <c r="A67" s="7">
        <v>12</v>
      </c>
      <c r="B67" s="7">
        <v>1</v>
      </c>
      <c r="C67" s="7">
        <v>58</v>
      </c>
      <c r="D67" s="7">
        <v>2</v>
      </c>
      <c r="E67" s="7" t="s">
        <v>12</v>
      </c>
      <c r="F67" s="7">
        <v>0</v>
      </c>
      <c r="G67" s="8">
        <v>0</v>
      </c>
      <c r="H67" s="9">
        <v>0.0912213114754098</v>
      </c>
      <c r="I67" s="14">
        <f>C67/D67</f>
        <v>29</v>
      </c>
      <c r="J67" s="13">
        <v>1069.67213114754</v>
      </c>
      <c r="K67" s="13">
        <v>2.94262295081967</v>
      </c>
    </row>
    <row r="68" ht="15.6" spans="1:11">
      <c r="A68" s="7">
        <v>160</v>
      </c>
      <c r="B68" s="7">
        <v>2</v>
      </c>
      <c r="C68" s="7">
        <v>56</v>
      </c>
      <c r="D68" s="7">
        <v>3</v>
      </c>
      <c r="E68" s="7" t="s">
        <v>11</v>
      </c>
      <c r="F68" s="7">
        <v>1</v>
      </c>
      <c r="G68" s="8">
        <v>0</v>
      </c>
      <c r="H68" s="9">
        <v>0.0912683706070287</v>
      </c>
      <c r="I68" s="14">
        <f>C68/D68</f>
        <v>18.6666666666667</v>
      </c>
      <c r="J68" s="13">
        <v>600.638977635783</v>
      </c>
      <c r="K68" s="13">
        <v>1.86261980830671</v>
      </c>
    </row>
    <row r="69" ht="15.6" spans="1:11">
      <c r="A69" s="7">
        <v>162</v>
      </c>
      <c r="B69" s="7">
        <v>1</v>
      </c>
      <c r="C69" s="7">
        <v>70</v>
      </c>
      <c r="D69" s="7">
        <v>3</v>
      </c>
      <c r="E69" s="7" t="s">
        <v>15</v>
      </c>
      <c r="F69" s="7">
        <v>0</v>
      </c>
      <c r="G69" s="8">
        <v>0</v>
      </c>
      <c r="H69" s="9">
        <v>0.0922706766917293</v>
      </c>
      <c r="I69" s="14">
        <f>C69/D69</f>
        <v>23.3333333333333</v>
      </c>
      <c r="J69" s="13">
        <v>388.471177944862</v>
      </c>
      <c r="K69" s="13">
        <v>1.18295739348371</v>
      </c>
    </row>
    <row r="70" ht="15.6" spans="1:11">
      <c r="A70" s="7">
        <v>133</v>
      </c>
      <c r="B70" s="7">
        <v>1</v>
      </c>
      <c r="C70" s="7">
        <v>52</v>
      </c>
      <c r="D70" s="7">
        <v>2</v>
      </c>
      <c r="E70" s="7" t="s">
        <v>20</v>
      </c>
      <c r="F70" s="7">
        <v>1</v>
      </c>
      <c r="G70" s="8">
        <v>1</v>
      </c>
      <c r="H70" s="9">
        <v>0.0930830324909747</v>
      </c>
      <c r="I70" s="14">
        <f>C70/D70</f>
        <v>26</v>
      </c>
      <c r="J70" s="13">
        <v>963.898916967509</v>
      </c>
      <c r="K70" s="13">
        <v>2.11552346570397</v>
      </c>
    </row>
    <row r="71" ht="15.6" spans="1:11">
      <c r="A71" s="7">
        <v>204</v>
      </c>
      <c r="B71" s="7">
        <v>1</v>
      </c>
      <c r="C71" s="7">
        <v>45</v>
      </c>
      <c r="D71" s="7">
        <v>3</v>
      </c>
      <c r="E71" s="7" t="s">
        <v>15</v>
      </c>
      <c r="F71" s="7">
        <v>0</v>
      </c>
      <c r="G71" s="8">
        <v>0</v>
      </c>
      <c r="H71" s="9">
        <v>0.0934119402985075</v>
      </c>
      <c r="I71" s="14">
        <f>C71/D71</f>
        <v>15</v>
      </c>
      <c r="J71" s="13">
        <v>582.089552238806</v>
      </c>
      <c r="K71" s="13">
        <v>1.63880597014925</v>
      </c>
    </row>
    <row r="72" ht="15.6" spans="1:11">
      <c r="A72" s="7">
        <v>193</v>
      </c>
      <c r="B72" s="7">
        <v>2</v>
      </c>
      <c r="C72" s="7">
        <v>70</v>
      </c>
      <c r="D72" s="7">
        <v>2</v>
      </c>
      <c r="E72" s="7" t="s">
        <v>21</v>
      </c>
      <c r="F72" s="7">
        <v>1</v>
      </c>
      <c r="G72" s="8">
        <v>1</v>
      </c>
      <c r="H72" s="9">
        <v>0.0937116564417178</v>
      </c>
      <c r="I72" s="14">
        <f>C72/D72</f>
        <v>35</v>
      </c>
      <c r="J72" s="13">
        <v>895.705521472393</v>
      </c>
      <c r="K72" s="13">
        <v>1.87423312883436</v>
      </c>
    </row>
    <row r="73" ht="15.6" spans="1:11">
      <c r="A73" s="7">
        <v>31</v>
      </c>
      <c r="B73" s="7">
        <v>2</v>
      </c>
      <c r="C73" s="7">
        <v>64</v>
      </c>
      <c r="D73" s="7">
        <v>3</v>
      </c>
      <c r="E73" s="7" t="s">
        <v>12</v>
      </c>
      <c r="F73" s="7">
        <v>0</v>
      </c>
      <c r="G73" s="8">
        <v>0</v>
      </c>
      <c r="H73" s="9">
        <v>0.0944556354916067</v>
      </c>
      <c r="I73" s="14">
        <f>C73/D73</f>
        <v>21.3333333333333</v>
      </c>
      <c r="J73" s="13">
        <v>558.752997601919</v>
      </c>
      <c r="K73" s="13">
        <v>1.09832134292566</v>
      </c>
    </row>
    <row r="74" ht="15.6" spans="1:11">
      <c r="A74" s="7">
        <v>128</v>
      </c>
      <c r="B74" s="7">
        <v>1</v>
      </c>
      <c r="C74" s="7">
        <v>68</v>
      </c>
      <c r="D74" s="7">
        <v>2</v>
      </c>
      <c r="E74" s="7" t="s">
        <v>11</v>
      </c>
      <c r="F74" s="7">
        <v>1</v>
      </c>
      <c r="G74" s="8">
        <v>1</v>
      </c>
      <c r="H74" s="9">
        <v>0.0950716332378224</v>
      </c>
      <c r="I74" s="14">
        <f>C74/D74</f>
        <v>34</v>
      </c>
      <c r="J74" s="13">
        <v>773.638968481375</v>
      </c>
      <c r="K74" s="13">
        <v>1.58452722063037</v>
      </c>
    </row>
    <row r="75" ht="15.6" spans="1:11">
      <c r="A75" s="7">
        <v>158</v>
      </c>
      <c r="B75" s="7">
        <v>2</v>
      </c>
      <c r="C75" s="7">
        <v>27</v>
      </c>
      <c r="D75" s="7">
        <v>2</v>
      </c>
      <c r="E75" s="7" t="s">
        <v>20</v>
      </c>
      <c r="F75" s="7">
        <v>1</v>
      </c>
      <c r="G75" s="8">
        <v>1</v>
      </c>
      <c r="H75" s="9">
        <v>0.0954637305699482</v>
      </c>
      <c r="I75" s="14">
        <f>C75/D75</f>
        <v>13.5</v>
      </c>
      <c r="J75" s="13">
        <v>455.958549222798</v>
      </c>
      <c r="K75" s="13">
        <v>1.34455958549223</v>
      </c>
    </row>
    <row r="76" ht="15.6" spans="1:11">
      <c r="A76" s="7">
        <v>41</v>
      </c>
      <c r="B76" s="7">
        <v>2</v>
      </c>
      <c r="C76" s="7">
        <v>80</v>
      </c>
      <c r="D76" s="7">
        <v>3</v>
      </c>
      <c r="E76" s="7" t="s">
        <v>12</v>
      </c>
      <c r="F76" s="7">
        <v>0</v>
      </c>
      <c r="G76" s="8">
        <v>0</v>
      </c>
      <c r="H76" s="9">
        <v>0.0955911458333333</v>
      </c>
      <c r="I76" s="14">
        <f>C76/D76</f>
        <v>26.6666666666667</v>
      </c>
      <c r="J76" s="13">
        <v>661.458333333333</v>
      </c>
      <c r="K76" s="13">
        <v>1.34635416666667</v>
      </c>
    </row>
    <row r="77" ht="15.6" spans="1:11">
      <c r="A77" s="7">
        <v>141</v>
      </c>
      <c r="B77" s="7">
        <v>1</v>
      </c>
      <c r="C77" s="7">
        <v>55</v>
      </c>
      <c r="D77" s="7">
        <v>3</v>
      </c>
      <c r="E77" s="7" t="s">
        <v>12</v>
      </c>
      <c r="F77" s="7">
        <v>0</v>
      </c>
      <c r="G77" s="8">
        <v>0</v>
      </c>
      <c r="H77" s="9">
        <v>0.0957547169811321</v>
      </c>
      <c r="I77" s="14">
        <f>C77/D77</f>
        <v>18.3333333333333</v>
      </c>
      <c r="J77" s="13">
        <v>474.842767295597</v>
      </c>
      <c r="K77" s="13">
        <v>1.91509433962264</v>
      </c>
    </row>
    <row r="78" ht="15.6" spans="1:11">
      <c r="A78" s="7">
        <v>183</v>
      </c>
      <c r="B78" s="7">
        <v>1</v>
      </c>
      <c r="C78" s="7">
        <v>57</v>
      </c>
      <c r="D78" s="7">
        <v>3</v>
      </c>
      <c r="E78" s="7" t="s">
        <v>15</v>
      </c>
      <c r="F78" s="7">
        <v>0</v>
      </c>
      <c r="G78" s="8">
        <v>0</v>
      </c>
      <c r="H78" s="9">
        <v>0.10021247113164</v>
      </c>
      <c r="I78" s="14">
        <f>C78/D78</f>
        <v>19</v>
      </c>
      <c r="J78" s="13">
        <v>353.348729792148</v>
      </c>
      <c r="K78" s="13">
        <v>1.04387990762125</v>
      </c>
    </row>
    <row r="79" ht="15.6" spans="1:11">
      <c r="A79" s="7">
        <v>90</v>
      </c>
      <c r="B79" s="7">
        <v>2</v>
      </c>
      <c r="C79" s="7">
        <v>68</v>
      </c>
      <c r="D79" s="7">
        <v>2</v>
      </c>
      <c r="E79" s="7" t="s">
        <v>14</v>
      </c>
      <c r="F79" s="7">
        <v>1</v>
      </c>
      <c r="G79" s="8">
        <v>1</v>
      </c>
      <c r="H79" s="9">
        <v>0.100813953488372</v>
      </c>
      <c r="I79" s="14">
        <f>C79/D79</f>
        <v>34</v>
      </c>
      <c r="J79" s="19">
        <v>677.325581395349</v>
      </c>
      <c r="K79" s="13">
        <v>1.68023255813953</v>
      </c>
    </row>
    <row r="80" ht="15.6" spans="1:11">
      <c r="A80" s="7">
        <v>202</v>
      </c>
      <c r="B80" s="7">
        <v>1</v>
      </c>
      <c r="C80" s="7">
        <v>33</v>
      </c>
      <c r="D80" s="7">
        <v>3</v>
      </c>
      <c r="E80" s="7" t="s">
        <v>14</v>
      </c>
      <c r="F80" s="7">
        <v>1</v>
      </c>
      <c r="G80" s="8">
        <v>0</v>
      </c>
      <c r="H80" s="9">
        <v>0.101542682926829</v>
      </c>
      <c r="I80" s="14">
        <f>C80/D80</f>
        <v>11</v>
      </c>
      <c r="J80" s="13">
        <v>768.292682926829</v>
      </c>
      <c r="K80" s="13">
        <v>1.66463414634146</v>
      </c>
    </row>
    <row r="81" ht="15.6" spans="1:11">
      <c r="A81" s="7">
        <v>49</v>
      </c>
      <c r="B81" s="7">
        <v>1</v>
      </c>
      <c r="C81" s="7">
        <v>79</v>
      </c>
      <c r="D81" s="7">
        <v>3</v>
      </c>
      <c r="E81" s="7" t="s">
        <v>17</v>
      </c>
      <c r="F81" s="7">
        <v>0</v>
      </c>
      <c r="G81" s="8">
        <v>1</v>
      </c>
      <c r="H81" s="9">
        <v>0.101820809248555</v>
      </c>
      <c r="I81" s="14">
        <f>C81/D81</f>
        <v>26.3333333333333</v>
      </c>
      <c r="J81" s="13">
        <v>728.323699421965</v>
      </c>
      <c r="K81" s="13">
        <v>1.56647398843931</v>
      </c>
    </row>
    <row r="82" ht="15.6" spans="1:11">
      <c r="A82" s="7">
        <v>161</v>
      </c>
      <c r="B82" s="7">
        <v>1</v>
      </c>
      <c r="C82" s="7">
        <v>28</v>
      </c>
      <c r="D82" s="7">
        <v>3</v>
      </c>
      <c r="E82" s="7" t="s">
        <v>15</v>
      </c>
      <c r="F82" s="7">
        <v>0</v>
      </c>
      <c r="G82" s="8">
        <v>0</v>
      </c>
      <c r="H82" s="9">
        <v>0.102050420168067</v>
      </c>
      <c r="I82" s="14">
        <f>C82/D82</f>
        <v>9.33333333333333</v>
      </c>
      <c r="J82" s="13">
        <v>868.347338935574</v>
      </c>
      <c r="K82" s="13">
        <v>1.54621848739496</v>
      </c>
    </row>
    <row r="83" ht="15.6" spans="1:11">
      <c r="A83" s="7">
        <v>60</v>
      </c>
      <c r="B83" s="7">
        <v>1</v>
      </c>
      <c r="C83" s="7">
        <v>39</v>
      </c>
      <c r="D83" s="7">
        <v>3</v>
      </c>
      <c r="E83" s="7" t="s">
        <v>15</v>
      </c>
      <c r="F83" s="7">
        <v>0</v>
      </c>
      <c r="G83" s="8">
        <v>0</v>
      </c>
      <c r="H83" s="9">
        <v>0.10282428115016</v>
      </c>
      <c r="I83" s="14">
        <f>C83/D83</f>
        <v>13</v>
      </c>
      <c r="J83" s="13">
        <v>616.613418530351</v>
      </c>
      <c r="K83" s="13">
        <v>1.90415335463259</v>
      </c>
    </row>
    <row r="84" ht="15.6" spans="1:11">
      <c r="A84" s="7">
        <v>209</v>
      </c>
      <c r="B84" s="10">
        <v>2</v>
      </c>
      <c r="C84" s="10">
        <v>52</v>
      </c>
      <c r="D84" s="10">
        <v>2</v>
      </c>
      <c r="E84" s="10" t="s">
        <v>15</v>
      </c>
      <c r="F84" s="10">
        <v>0</v>
      </c>
      <c r="G84" s="11">
        <v>0</v>
      </c>
      <c r="H84" s="12">
        <v>0.104</v>
      </c>
      <c r="I84" s="14">
        <f>C84/D84</f>
        <v>26</v>
      </c>
      <c r="J84" s="13">
        <v>752.442996742671</v>
      </c>
      <c r="K84" s="13">
        <v>2</v>
      </c>
    </row>
    <row r="85" ht="15.6" spans="1:11">
      <c r="A85" s="7">
        <v>147</v>
      </c>
      <c r="B85" s="7">
        <v>1</v>
      </c>
      <c r="C85" s="7">
        <v>61</v>
      </c>
      <c r="D85" s="7">
        <v>3</v>
      </c>
      <c r="E85" s="7" t="s">
        <v>11</v>
      </c>
      <c r="F85" s="7">
        <v>1</v>
      </c>
      <c r="G85" s="8">
        <v>0</v>
      </c>
      <c r="H85" s="9">
        <v>0.10478239608802</v>
      </c>
      <c r="I85" s="14">
        <f>C85/D85</f>
        <v>20.3333333333333</v>
      </c>
      <c r="J85" s="13">
        <v>535.452322738386</v>
      </c>
      <c r="K85" s="13">
        <v>1.19070904645477</v>
      </c>
    </row>
    <row r="86" ht="15.6" spans="1:11">
      <c r="A86" s="7">
        <v>8</v>
      </c>
      <c r="B86" s="7">
        <v>1</v>
      </c>
      <c r="C86" s="7">
        <v>52</v>
      </c>
      <c r="D86" s="7">
        <v>3</v>
      </c>
      <c r="E86" s="7" t="s">
        <v>11</v>
      </c>
      <c r="F86" s="7">
        <v>1</v>
      </c>
      <c r="G86" s="8">
        <v>1</v>
      </c>
      <c r="H86" s="9">
        <v>0.104937931034483</v>
      </c>
      <c r="I86" s="14">
        <f>C86/D86</f>
        <v>17.3333333333333</v>
      </c>
      <c r="J86" s="13">
        <v>744.827586206897</v>
      </c>
      <c r="K86" s="13">
        <v>2.18620689655172</v>
      </c>
    </row>
    <row r="87" ht="15.6" spans="1:11">
      <c r="A87" s="7">
        <v>139</v>
      </c>
      <c r="B87" s="7">
        <v>1</v>
      </c>
      <c r="C87" s="7">
        <v>46</v>
      </c>
      <c r="D87" s="7">
        <v>3</v>
      </c>
      <c r="E87" s="7" t="s">
        <v>12</v>
      </c>
      <c r="F87" s="7">
        <v>0</v>
      </c>
      <c r="G87" s="8">
        <v>0</v>
      </c>
      <c r="H87" s="9">
        <v>0.106011019283747</v>
      </c>
      <c r="I87" s="14">
        <f>C87/D87</f>
        <v>15.3333333333333</v>
      </c>
      <c r="J87" s="13">
        <v>724.517906336088</v>
      </c>
      <c r="K87" s="13">
        <v>1.4931129476584</v>
      </c>
    </row>
    <row r="88" ht="15.6" spans="1:11">
      <c r="A88" s="7">
        <v>4</v>
      </c>
      <c r="B88" s="7">
        <v>2</v>
      </c>
      <c r="C88" s="7">
        <v>63</v>
      </c>
      <c r="D88" s="7">
        <v>3</v>
      </c>
      <c r="E88" s="7" t="s">
        <v>12</v>
      </c>
      <c r="F88" s="7">
        <v>0</v>
      </c>
      <c r="G88" s="8">
        <v>0</v>
      </c>
      <c r="H88" s="9">
        <v>0.106776041666667</v>
      </c>
      <c r="I88" s="14">
        <f>C88/D88</f>
        <v>21</v>
      </c>
      <c r="J88" s="13">
        <v>575.520833333333</v>
      </c>
      <c r="K88" s="13">
        <v>1.28645833333333</v>
      </c>
    </row>
    <row r="89" ht="15.6" spans="1:11">
      <c r="A89" s="7">
        <v>69</v>
      </c>
      <c r="B89" s="7">
        <v>1</v>
      </c>
      <c r="C89" s="7">
        <v>60</v>
      </c>
      <c r="D89" s="7">
        <v>2</v>
      </c>
      <c r="E89" s="7" t="s">
        <v>11</v>
      </c>
      <c r="F89" s="7">
        <v>1</v>
      </c>
      <c r="G89" s="8">
        <v>1</v>
      </c>
      <c r="H89" s="9">
        <v>0.10734076433121</v>
      </c>
      <c r="I89" s="14">
        <f>C89/D89</f>
        <v>30</v>
      </c>
      <c r="J89" s="13">
        <v>681.528662420382</v>
      </c>
      <c r="K89" s="13">
        <v>1.70382165605096</v>
      </c>
    </row>
    <row r="90" ht="15.6" spans="1:11">
      <c r="A90" s="7">
        <v>108</v>
      </c>
      <c r="B90" s="7">
        <v>1</v>
      </c>
      <c r="C90" s="7">
        <v>49</v>
      </c>
      <c r="D90" s="7">
        <v>2</v>
      </c>
      <c r="E90" s="7" t="s">
        <v>12</v>
      </c>
      <c r="F90" s="7">
        <v>0</v>
      </c>
      <c r="G90" s="8">
        <v>0</v>
      </c>
      <c r="H90" s="9">
        <v>0.107573099415205</v>
      </c>
      <c r="I90" s="14">
        <f>C90/D90</f>
        <v>24.5</v>
      </c>
      <c r="J90" s="13">
        <v>520.46783625731</v>
      </c>
      <c r="K90" s="13">
        <v>1.65497076023392</v>
      </c>
    </row>
    <row r="91" ht="15.6" spans="1:11">
      <c r="A91" s="7">
        <v>42</v>
      </c>
      <c r="B91" s="7">
        <v>2</v>
      </c>
      <c r="C91" s="7">
        <v>47</v>
      </c>
      <c r="D91" s="7">
        <v>3</v>
      </c>
      <c r="E91" s="7" t="s">
        <v>16</v>
      </c>
      <c r="F91" s="7">
        <v>1</v>
      </c>
      <c r="G91" s="8">
        <v>1</v>
      </c>
      <c r="H91" s="9">
        <v>0.107891598915989</v>
      </c>
      <c r="I91" s="14">
        <f>C91/D91</f>
        <v>15.6666666666667</v>
      </c>
      <c r="J91" s="13">
        <v>425.474254742547</v>
      </c>
      <c r="K91" s="13">
        <v>1.4579945799458</v>
      </c>
    </row>
    <row r="92" ht="15.6" spans="1:11">
      <c r="A92" s="7">
        <v>88</v>
      </c>
      <c r="B92" s="7">
        <v>1</v>
      </c>
      <c r="C92" s="7">
        <v>45</v>
      </c>
      <c r="D92" s="7">
        <v>1</v>
      </c>
      <c r="E92" s="7" t="s">
        <v>11</v>
      </c>
      <c r="F92" s="7">
        <v>1</v>
      </c>
      <c r="G92" s="8">
        <v>1</v>
      </c>
      <c r="H92" s="9">
        <v>0.108</v>
      </c>
      <c r="I92" s="14">
        <f>C92/D92</f>
        <v>45</v>
      </c>
      <c r="J92" s="13">
        <v>620.588235294118</v>
      </c>
      <c r="K92" s="13">
        <v>1.58823529411765</v>
      </c>
    </row>
    <row r="93" ht="15.6" spans="1:11">
      <c r="A93" s="7">
        <v>24</v>
      </c>
      <c r="B93" s="7">
        <v>1</v>
      </c>
      <c r="C93" s="7">
        <v>48</v>
      </c>
      <c r="D93" s="7">
        <v>2</v>
      </c>
      <c r="E93" s="7" t="s">
        <v>12</v>
      </c>
      <c r="F93" s="7">
        <v>0</v>
      </c>
      <c r="G93" s="8">
        <v>1</v>
      </c>
      <c r="H93" s="9">
        <v>0.108543554006969</v>
      </c>
      <c r="I93" s="14">
        <f>C93/D93</f>
        <v>24</v>
      </c>
      <c r="J93" s="13">
        <v>818.815331010453</v>
      </c>
      <c r="K93" s="13">
        <v>2.26132404181185</v>
      </c>
    </row>
    <row r="94" ht="15.6" spans="1:11">
      <c r="A94" s="7">
        <v>184</v>
      </c>
      <c r="B94" s="7">
        <v>2</v>
      </c>
      <c r="C94" s="7">
        <v>71</v>
      </c>
      <c r="D94" s="7">
        <v>2</v>
      </c>
      <c r="E94" s="7" t="s">
        <v>18</v>
      </c>
      <c r="F94" s="7">
        <v>0</v>
      </c>
      <c r="G94" s="8">
        <v>0</v>
      </c>
      <c r="H94" s="9">
        <v>0.109030848329049</v>
      </c>
      <c r="I94" s="14">
        <f>C94/D94</f>
        <v>35.5</v>
      </c>
      <c r="J94" s="13">
        <v>848.329048843188</v>
      </c>
      <c r="K94" s="13">
        <v>1.31362467866324</v>
      </c>
    </row>
    <row r="95" ht="15.6" spans="1:11">
      <c r="A95" s="7">
        <v>130</v>
      </c>
      <c r="B95" s="7">
        <v>1</v>
      </c>
      <c r="C95" s="7">
        <v>32</v>
      </c>
      <c r="D95" s="7">
        <v>2</v>
      </c>
      <c r="E95" s="7" t="s">
        <v>15</v>
      </c>
      <c r="F95" s="7">
        <v>0</v>
      </c>
      <c r="G95" s="8">
        <v>0</v>
      </c>
      <c r="H95" s="9">
        <v>0.111168975069252</v>
      </c>
      <c r="I95" s="14">
        <f>C95/D95</f>
        <v>16</v>
      </c>
      <c r="J95" s="13">
        <v>440.443213296399</v>
      </c>
      <c r="K95" s="13">
        <v>1.40720221606648</v>
      </c>
    </row>
    <row r="96" ht="15.6" spans="1:11">
      <c r="A96" s="7">
        <v>103</v>
      </c>
      <c r="B96" s="7">
        <v>1</v>
      </c>
      <c r="C96" s="7">
        <v>32</v>
      </c>
      <c r="D96" s="7">
        <v>2</v>
      </c>
      <c r="E96" s="7" t="s">
        <v>14</v>
      </c>
      <c r="F96" s="7">
        <v>1</v>
      </c>
      <c r="G96" s="8">
        <v>1</v>
      </c>
      <c r="H96" s="9">
        <v>0.111717391304348</v>
      </c>
      <c r="I96" s="14">
        <f>C96/D96</f>
        <v>16</v>
      </c>
      <c r="J96" s="13">
        <v>1031.05590062112</v>
      </c>
      <c r="K96" s="13">
        <v>1.77329192546584</v>
      </c>
    </row>
    <row r="97" ht="15.6" spans="1:11">
      <c r="A97" s="7">
        <v>214</v>
      </c>
      <c r="B97" s="10">
        <v>1</v>
      </c>
      <c r="C97" s="10">
        <v>50</v>
      </c>
      <c r="D97" s="10">
        <v>3</v>
      </c>
      <c r="E97" s="10" t="s">
        <v>12</v>
      </c>
      <c r="F97" s="10">
        <v>0</v>
      </c>
      <c r="G97" s="11">
        <v>0</v>
      </c>
      <c r="H97" s="12">
        <v>0.112586419753086</v>
      </c>
      <c r="I97" s="14">
        <f>C97/D97</f>
        <v>16.6666666666667</v>
      </c>
      <c r="J97" s="13">
        <v>552.469135802469</v>
      </c>
      <c r="K97" s="13">
        <v>1.84567901234568</v>
      </c>
    </row>
    <row r="98" ht="15.6" spans="1:11">
      <c r="A98" s="7">
        <v>18</v>
      </c>
      <c r="B98" s="7">
        <v>2</v>
      </c>
      <c r="C98" s="7">
        <v>71</v>
      </c>
      <c r="D98" s="7">
        <v>3</v>
      </c>
      <c r="E98" s="7" t="s">
        <v>12</v>
      </c>
      <c r="F98" s="7">
        <v>0</v>
      </c>
      <c r="G98" s="8">
        <v>0</v>
      </c>
      <c r="H98" s="9">
        <v>0.112629496402878</v>
      </c>
      <c r="I98" s="14">
        <f>C98/D98</f>
        <v>23.6666666666667</v>
      </c>
      <c r="J98" s="13">
        <v>510.791366906475</v>
      </c>
      <c r="K98" s="13">
        <v>2.29856115107914</v>
      </c>
    </row>
    <row r="99" ht="15.6" spans="1:11">
      <c r="A99" s="7">
        <v>137</v>
      </c>
      <c r="B99" s="7">
        <v>2</v>
      </c>
      <c r="C99" s="7">
        <v>45</v>
      </c>
      <c r="D99" s="7">
        <v>3</v>
      </c>
      <c r="E99" s="7" t="s">
        <v>12</v>
      </c>
      <c r="F99" s="7">
        <v>0</v>
      </c>
      <c r="G99" s="8">
        <v>0</v>
      </c>
      <c r="H99" s="18">
        <v>0.113229357798165</v>
      </c>
      <c r="I99" s="14">
        <f>C99/D99</f>
        <v>15</v>
      </c>
      <c r="J99" s="13">
        <v>746.177370030581</v>
      </c>
      <c r="K99" s="13">
        <v>1.71559633027523</v>
      </c>
    </row>
    <row r="100" ht="15.6" spans="1:11">
      <c r="A100" s="7">
        <v>79</v>
      </c>
      <c r="B100" s="7">
        <v>2</v>
      </c>
      <c r="C100" s="7">
        <v>55</v>
      </c>
      <c r="D100" s="7">
        <v>3</v>
      </c>
      <c r="E100" s="7" t="s">
        <v>11</v>
      </c>
      <c r="F100" s="7">
        <v>1</v>
      </c>
      <c r="G100" s="8">
        <v>1</v>
      </c>
      <c r="H100" s="9">
        <v>0.113427692307692</v>
      </c>
      <c r="I100" s="14">
        <f>C100/D100</f>
        <v>18.3333333333333</v>
      </c>
      <c r="J100" s="13">
        <v>667.692307692308</v>
      </c>
      <c r="K100" s="13">
        <v>1.77230769230769</v>
      </c>
    </row>
    <row r="101" ht="15.6" spans="1:11">
      <c r="A101" s="7">
        <v>197</v>
      </c>
      <c r="B101" s="7">
        <v>1</v>
      </c>
      <c r="C101" s="7">
        <v>34</v>
      </c>
      <c r="D101" s="7">
        <v>3</v>
      </c>
      <c r="E101" s="7" t="s">
        <v>19</v>
      </c>
      <c r="F101" s="7">
        <v>1</v>
      </c>
      <c r="G101" s="8">
        <v>1</v>
      </c>
      <c r="H101" s="9">
        <v>0.11344262295082</v>
      </c>
      <c r="I101" s="14">
        <f>C101/D101</f>
        <v>11.3333333333333</v>
      </c>
      <c r="J101" s="13">
        <v>926.229508196721</v>
      </c>
      <c r="K101" s="13">
        <v>2.83606557377049</v>
      </c>
    </row>
    <row r="102" ht="15.6" spans="1:11">
      <c r="A102" s="7">
        <v>144</v>
      </c>
      <c r="B102" s="7">
        <v>1</v>
      </c>
      <c r="C102" s="7">
        <v>64</v>
      </c>
      <c r="D102" s="7">
        <v>3</v>
      </c>
      <c r="E102" s="7" t="s">
        <v>17</v>
      </c>
      <c r="F102" s="7">
        <v>0</v>
      </c>
      <c r="G102" s="8">
        <v>0</v>
      </c>
      <c r="H102" s="9">
        <v>0.113449704142012</v>
      </c>
      <c r="I102" s="14">
        <f>C102/D102</f>
        <v>21.3333333333333</v>
      </c>
      <c r="J102" s="13">
        <v>1026.62721893491</v>
      </c>
      <c r="K102" s="13">
        <v>1.7189349112426</v>
      </c>
    </row>
    <row r="103" ht="15.6" spans="1:11">
      <c r="A103" s="7">
        <v>164</v>
      </c>
      <c r="B103" s="7">
        <v>1</v>
      </c>
      <c r="C103" s="7">
        <v>54</v>
      </c>
      <c r="D103" s="7">
        <v>2</v>
      </c>
      <c r="E103" s="7" t="s">
        <v>16</v>
      </c>
      <c r="F103" s="7">
        <v>1</v>
      </c>
      <c r="G103" s="8">
        <v>1</v>
      </c>
      <c r="H103" s="9">
        <v>0.113699421965318</v>
      </c>
      <c r="I103" s="14">
        <f>C103/D103</f>
        <v>27</v>
      </c>
      <c r="J103" s="13">
        <v>736.994219653179</v>
      </c>
      <c r="K103" s="13">
        <v>1.6242774566474</v>
      </c>
    </row>
    <row r="104" ht="15.6" spans="1:11">
      <c r="A104" s="7">
        <v>46</v>
      </c>
      <c r="B104" s="7">
        <v>2</v>
      </c>
      <c r="C104" s="7">
        <v>49</v>
      </c>
      <c r="D104" s="7">
        <v>3</v>
      </c>
      <c r="E104" s="7" t="s">
        <v>16</v>
      </c>
      <c r="F104" s="7">
        <v>1</v>
      </c>
      <c r="G104" s="8">
        <v>1</v>
      </c>
      <c r="H104" s="9">
        <v>0.113730994152047</v>
      </c>
      <c r="I104" s="14">
        <f>C104/D104</f>
        <v>16.3333333333333</v>
      </c>
      <c r="J104" s="13">
        <v>546.783625730994</v>
      </c>
      <c r="K104" s="13">
        <v>1.67251461988304</v>
      </c>
    </row>
    <row r="105" ht="15.6" spans="1:11">
      <c r="A105" s="7">
        <v>199</v>
      </c>
      <c r="B105" s="7">
        <v>1</v>
      </c>
      <c r="C105" s="7">
        <v>60</v>
      </c>
      <c r="D105" s="7">
        <v>3</v>
      </c>
      <c r="E105" s="7" t="s">
        <v>19</v>
      </c>
      <c r="F105" s="7">
        <v>1</v>
      </c>
      <c r="G105" s="8">
        <v>1</v>
      </c>
      <c r="H105" s="9">
        <v>0.114081081081081</v>
      </c>
      <c r="I105" s="14">
        <f>C105/D105</f>
        <v>20</v>
      </c>
      <c r="J105" s="13">
        <v>888.888888888889</v>
      </c>
      <c r="K105" s="13">
        <v>1.7027027027027</v>
      </c>
    </row>
    <row r="106" ht="15.6" spans="1:11">
      <c r="A106" s="7">
        <v>156</v>
      </c>
      <c r="B106" s="7">
        <v>1</v>
      </c>
      <c r="C106" s="7">
        <v>42</v>
      </c>
      <c r="D106" s="7">
        <v>3</v>
      </c>
      <c r="E106" s="7" t="s">
        <v>11</v>
      </c>
      <c r="F106" s="7">
        <v>0</v>
      </c>
      <c r="G106" s="8">
        <v>1</v>
      </c>
      <c r="H106" s="9">
        <v>0.114342679127726</v>
      </c>
      <c r="I106" s="14">
        <f>C106/D106</f>
        <v>14</v>
      </c>
      <c r="J106" s="13">
        <v>467.289719626168</v>
      </c>
      <c r="K106" s="13">
        <v>1.84423676012461</v>
      </c>
    </row>
    <row r="107" ht="15.6" spans="1:11">
      <c r="A107" s="7">
        <v>117</v>
      </c>
      <c r="B107" s="7">
        <v>1</v>
      </c>
      <c r="C107" s="7">
        <v>40</v>
      </c>
      <c r="D107" s="7">
        <v>2</v>
      </c>
      <c r="E107" s="7" t="s">
        <v>20</v>
      </c>
      <c r="F107" s="7">
        <v>1</v>
      </c>
      <c r="G107" s="8">
        <v>1</v>
      </c>
      <c r="H107" s="9">
        <v>0.115073047858942</v>
      </c>
      <c r="I107" s="14">
        <f>C107/D107</f>
        <v>20</v>
      </c>
      <c r="J107" s="13">
        <v>952.141057934509</v>
      </c>
      <c r="K107" s="13">
        <v>1.22418136020151</v>
      </c>
    </row>
    <row r="108" ht="15.6" spans="1:11">
      <c r="A108" s="7">
        <v>134</v>
      </c>
      <c r="B108" s="7">
        <v>1</v>
      </c>
      <c r="C108" s="7">
        <v>59</v>
      </c>
      <c r="D108" s="7">
        <v>2</v>
      </c>
      <c r="E108" s="7" t="s">
        <v>14</v>
      </c>
      <c r="F108" s="7">
        <v>1</v>
      </c>
      <c r="G108" s="8">
        <v>1</v>
      </c>
      <c r="H108" s="9">
        <v>0.116158038147139</v>
      </c>
      <c r="I108" s="14">
        <f>C108/D108</f>
        <v>29.5</v>
      </c>
      <c r="J108" s="13">
        <v>403.269754768392</v>
      </c>
      <c r="K108" s="13">
        <v>1.33514986376022</v>
      </c>
    </row>
    <row r="109" ht="15.6" spans="1:11">
      <c r="A109" s="7">
        <v>35</v>
      </c>
      <c r="B109" s="7">
        <v>2</v>
      </c>
      <c r="C109" s="7">
        <v>61</v>
      </c>
      <c r="D109" s="7">
        <v>2</v>
      </c>
      <c r="E109" s="7" t="s">
        <v>12</v>
      </c>
      <c r="F109" s="7">
        <v>0</v>
      </c>
      <c r="G109" s="8">
        <v>0</v>
      </c>
      <c r="H109" s="9">
        <v>0.116192118226601</v>
      </c>
      <c r="I109" s="14">
        <f>C109/D109</f>
        <v>30.5</v>
      </c>
      <c r="J109" s="13">
        <v>475.369458128079</v>
      </c>
      <c r="K109" s="13">
        <v>1.12807881773399</v>
      </c>
    </row>
    <row r="110" ht="15.6" spans="1:11">
      <c r="A110" s="7">
        <v>220</v>
      </c>
      <c r="B110" s="10">
        <v>1</v>
      </c>
      <c r="C110" s="10">
        <v>44</v>
      </c>
      <c r="D110" s="10">
        <v>1</v>
      </c>
      <c r="E110" s="10" t="s">
        <v>14</v>
      </c>
      <c r="F110" s="10">
        <v>1</v>
      </c>
      <c r="G110" s="11">
        <v>1</v>
      </c>
      <c r="H110" s="12">
        <v>0.116237288135593</v>
      </c>
      <c r="I110" s="14">
        <f>C110/D110</f>
        <v>44</v>
      </c>
      <c r="J110" s="13">
        <v>1206.77966101695</v>
      </c>
      <c r="K110" s="13">
        <v>2.15254237288136</v>
      </c>
    </row>
    <row r="111" ht="15.6" spans="1:11">
      <c r="A111" s="7">
        <v>153</v>
      </c>
      <c r="B111" s="7">
        <v>2</v>
      </c>
      <c r="C111" s="7">
        <v>50</v>
      </c>
      <c r="D111" s="7">
        <v>3</v>
      </c>
      <c r="E111" s="7" t="s">
        <v>16</v>
      </c>
      <c r="F111" s="7">
        <v>0</v>
      </c>
      <c r="G111" s="8">
        <v>1</v>
      </c>
      <c r="H111" s="9">
        <v>0.116907216494845</v>
      </c>
      <c r="I111" s="14">
        <f>C111/D111</f>
        <v>16.6666666666667</v>
      </c>
      <c r="J111" s="13">
        <v>601.374570446735</v>
      </c>
      <c r="K111" s="13">
        <v>2.16494845360825</v>
      </c>
    </row>
    <row r="112" ht="15.6" spans="1:11">
      <c r="A112" s="7">
        <v>33</v>
      </c>
      <c r="B112" s="7">
        <v>1</v>
      </c>
      <c r="C112" s="7">
        <v>56</v>
      </c>
      <c r="D112" s="7">
        <v>1</v>
      </c>
      <c r="E112" s="7" t="s">
        <v>21</v>
      </c>
      <c r="F112" s="7">
        <v>1</v>
      </c>
      <c r="G112" s="8">
        <v>1</v>
      </c>
      <c r="H112" s="9">
        <v>0.11814953271028</v>
      </c>
      <c r="I112" s="14">
        <f>C112/D112</f>
        <v>56</v>
      </c>
      <c r="J112" s="13">
        <v>691.588785046729</v>
      </c>
      <c r="K112" s="13">
        <v>1.87538940809969</v>
      </c>
    </row>
    <row r="113" ht="15.6" spans="1:11">
      <c r="A113" s="7">
        <v>38</v>
      </c>
      <c r="B113" s="7">
        <v>2</v>
      </c>
      <c r="C113" s="7">
        <v>45</v>
      </c>
      <c r="D113" s="7">
        <v>3</v>
      </c>
      <c r="E113" s="7" t="s">
        <v>12</v>
      </c>
      <c r="F113" s="7">
        <v>0</v>
      </c>
      <c r="G113" s="8">
        <v>0</v>
      </c>
      <c r="H113" s="9">
        <v>0.120266826923077</v>
      </c>
      <c r="I113" s="14">
        <f>C113/D113</f>
        <v>15</v>
      </c>
      <c r="J113" s="13">
        <v>788.461538461538</v>
      </c>
      <c r="K113" s="13">
        <v>1.10336538461538</v>
      </c>
    </row>
    <row r="114" ht="15.6" spans="1:11">
      <c r="A114" s="7">
        <v>157</v>
      </c>
      <c r="B114" s="7">
        <v>1</v>
      </c>
      <c r="C114" s="7">
        <v>48</v>
      </c>
      <c r="D114" s="7">
        <v>3</v>
      </c>
      <c r="E114" s="7" t="s">
        <v>17</v>
      </c>
      <c r="F114" s="7">
        <v>0</v>
      </c>
      <c r="G114" s="8">
        <v>0</v>
      </c>
      <c r="H114" s="9">
        <v>0.121831578947368</v>
      </c>
      <c r="I114" s="14">
        <f>C114/D114</f>
        <v>16</v>
      </c>
      <c r="J114" s="13">
        <v>743.859649122807</v>
      </c>
      <c r="K114" s="13">
        <v>2.25614035087719</v>
      </c>
    </row>
    <row r="115" ht="15.6" spans="1:11">
      <c r="A115" s="7">
        <v>224</v>
      </c>
      <c r="B115" s="10">
        <v>2</v>
      </c>
      <c r="C115" s="10">
        <v>43</v>
      </c>
      <c r="D115" s="10">
        <v>1</v>
      </c>
      <c r="E115" s="10" t="s">
        <v>15</v>
      </c>
      <c r="F115" s="10">
        <v>0</v>
      </c>
      <c r="G115" s="11">
        <v>0</v>
      </c>
      <c r="H115" s="12">
        <v>0.121963636363636</v>
      </c>
      <c r="I115" s="14">
        <f>C115/D115</f>
        <v>43</v>
      </c>
      <c r="J115" s="13">
        <v>418.181818181818</v>
      </c>
      <c r="K115" s="13">
        <v>1.69393939393939</v>
      </c>
    </row>
    <row r="116" ht="15.6" spans="1:11">
      <c r="A116" s="7">
        <v>152</v>
      </c>
      <c r="B116" s="7">
        <v>1</v>
      </c>
      <c r="C116" s="7">
        <v>70</v>
      </c>
      <c r="D116" s="7">
        <v>2</v>
      </c>
      <c r="E116" s="7" t="s">
        <v>12</v>
      </c>
      <c r="F116" s="7">
        <v>0</v>
      </c>
      <c r="G116" s="8">
        <v>1</v>
      </c>
      <c r="H116" s="9">
        <v>0.12234076433121</v>
      </c>
      <c r="I116" s="14">
        <f>C116/D116</f>
        <v>35</v>
      </c>
      <c r="J116" s="13">
        <v>605.095541401274</v>
      </c>
      <c r="K116" s="13">
        <v>1.88216560509554</v>
      </c>
    </row>
    <row r="117" ht="15.6" spans="1:11">
      <c r="A117" s="7">
        <v>192</v>
      </c>
      <c r="B117" s="7">
        <v>1</v>
      </c>
      <c r="C117" s="7">
        <v>48</v>
      </c>
      <c r="D117" s="7">
        <v>2</v>
      </c>
      <c r="E117" s="7" t="s">
        <v>22</v>
      </c>
      <c r="F117" s="7">
        <v>1</v>
      </c>
      <c r="G117" s="8">
        <v>1</v>
      </c>
      <c r="H117" s="9">
        <v>0.123093333333333</v>
      </c>
      <c r="I117" s="14">
        <f>C117/D117</f>
        <v>24</v>
      </c>
      <c r="J117" s="13">
        <v>560</v>
      </c>
      <c r="K117" s="13">
        <v>1.92333333333333</v>
      </c>
    </row>
    <row r="118" ht="15.6" spans="1:11">
      <c r="A118" s="7">
        <v>154</v>
      </c>
      <c r="B118" s="7">
        <v>1</v>
      </c>
      <c r="C118" s="7">
        <v>56</v>
      </c>
      <c r="D118" s="7">
        <v>1</v>
      </c>
      <c r="E118" s="7" t="s">
        <v>12</v>
      </c>
      <c r="F118" s="7">
        <v>1</v>
      </c>
      <c r="G118" s="8">
        <v>0</v>
      </c>
      <c r="H118" s="9">
        <v>0.124073846153846</v>
      </c>
      <c r="I118" s="14">
        <f>C118/D118</f>
        <v>56</v>
      </c>
      <c r="J118" s="13">
        <v>876.923076923077</v>
      </c>
      <c r="K118" s="13">
        <v>1.82461538461538</v>
      </c>
    </row>
    <row r="119" ht="15.6" spans="1:11">
      <c r="A119" s="7">
        <v>26</v>
      </c>
      <c r="B119" s="7">
        <v>1</v>
      </c>
      <c r="C119" s="7">
        <v>60</v>
      </c>
      <c r="D119" s="7">
        <v>3</v>
      </c>
      <c r="E119" s="7" t="s">
        <v>14</v>
      </c>
      <c r="F119" s="7">
        <v>1</v>
      </c>
      <c r="G119" s="8">
        <v>1</v>
      </c>
      <c r="H119" s="9">
        <v>0.124402476780186</v>
      </c>
      <c r="I119" s="14">
        <f>C119/D119</f>
        <v>20</v>
      </c>
      <c r="J119" s="13">
        <v>458.204334365325</v>
      </c>
      <c r="K119" s="13">
        <v>1.68111455108359</v>
      </c>
    </row>
    <row r="120" ht="15.6" spans="1:11">
      <c r="A120" s="7">
        <v>64</v>
      </c>
      <c r="B120" s="7">
        <v>2</v>
      </c>
      <c r="C120" s="7">
        <v>76</v>
      </c>
      <c r="D120" s="7">
        <v>1</v>
      </c>
      <c r="E120" s="7" t="s">
        <v>15</v>
      </c>
      <c r="F120" s="7">
        <v>0</v>
      </c>
      <c r="G120" s="8">
        <v>1</v>
      </c>
      <c r="H120" s="9">
        <v>0.124541095890411</v>
      </c>
      <c r="I120" s="14">
        <f>C120/D120</f>
        <v>76</v>
      </c>
      <c r="J120" s="13">
        <v>585.616438356164</v>
      </c>
      <c r="K120" s="13">
        <v>2.1472602739726</v>
      </c>
    </row>
    <row r="121" ht="15.6" spans="1:11">
      <c r="A121" s="7">
        <v>109</v>
      </c>
      <c r="B121" s="7">
        <v>1</v>
      </c>
      <c r="C121" s="7">
        <v>64</v>
      </c>
      <c r="D121" s="7">
        <v>2</v>
      </c>
      <c r="E121" s="7" t="s">
        <v>15</v>
      </c>
      <c r="F121" s="7">
        <v>0</v>
      </c>
      <c r="G121" s="8">
        <v>0</v>
      </c>
      <c r="H121" s="9">
        <v>0.125612903225806</v>
      </c>
      <c r="I121" s="14">
        <f>C121/D121</f>
        <v>32</v>
      </c>
      <c r="J121" s="13">
        <v>534.05017921147</v>
      </c>
      <c r="K121" s="13">
        <v>2.32616487455197</v>
      </c>
    </row>
    <row r="122" ht="15.6" spans="1:11">
      <c r="A122" s="7">
        <v>96</v>
      </c>
      <c r="B122" s="7">
        <v>1</v>
      </c>
      <c r="C122" s="7">
        <v>69</v>
      </c>
      <c r="D122" s="7">
        <v>3</v>
      </c>
      <c r="E122" s="7" t="s">
        <v>11</v>
      </c>
      <c r="F122" s="7">
        <v>1</v>
      </c>
      <c r="G122" s="8">
        <v>1</v>
      </c>
      <c r="H122" s="9">
        <v>0.126</v>
      </c>
      <c r="I122" s="14">
        <f>C122/D122</f>
        <v>23</v>
      </c>
      <c r="J122" s="13">
        <v>604.575163398693</v>
      </c>
      <c r="K122" s="13">
        <v>1.85294117647059</v>
      </c>
    </row>
    <row r="123" ht="15.6" spans="1:11">
      <c r="A123" s="7">
        <v>122</v>
      </c>
      <c r="B123" s="7">
        <v>1</v>
      </c>
      <c r="C123" s="7">
        <v>61</v>
      </c>
      <c r="D123" s="7">
        <v>2</v>
      </c>
      <c r="E123" s="7" t="s">
        <v>15</v>
      </c>
      <c r="F123" s="7">
        <v>0</v>
      </c>
      <c r="G123" s="8">
        <v>0</v>
      </c>
      <c r="H123" s="9">
        <v>0.126080924855491</v>
      </c>
      <c r="I123" s="14">
        <f>C123/D123</f>
        <v>30.5</v>
      </c>
      <c r="J123" s="13">
        <v>1167.63005780347</v>
      </c>
      <c r="K123" s="13">
        <v>1.53757225433526</v>
      </c>
    </row>
    <row r="124" ht="15.6" spans="1:11">
      <c r="A124" s="7">
        <v>207</v>
      </c>
      <c r="B124" s="10">
        <v>2</v>
      </c>
      <c r="C124" s="10">
        <v>64</v>
      </c>
      <c r="D124" s="10">
        <v>1</v>
      </c>
      <c r="E124" s="10" t="s">
        <v>15</v>
      </c>
      <c r="F124" s="10">
        <v>0</v>
      </c>
      <c r="G124" s="8">
        <v>0</v>
      </c>
      <c r="H124" s="9">
        <v>0.126287037037037</v>
      </c>
      <c r="I124" s="14">
        <f>C124/D124</f>
        <v>64</v>
      </c>
      <c r="J124" s="13">
        <v>765.432098765432</v>
      </c>
      <c r="K124" s="19">
        <v>1.83024691358025</v>
      </c>
    </row>
    <row r="125" ht="15.6" spans="1:11">
      <c r="A125" s="7">
        <v>212</v>
      </c>
      <c r="B125" s="10">
        <v>1</v>
      </c>
      <c r="C125" s="10">
        <v>47</v>
      </c>
      <c r="D125" s="10">
        <v>2</v>
      </c>
      <c r="E125" s="10" t="s">
        <v>12</v>
      </c>
      <c r="F125" s="10">
        <v>0</v>
      </c>
      <c r="G125" s="11">
        <v>0</v>
      </c>
      <c r="H125" s="12">
        <v>0.126312714776632</v>
      </c>
      <c r="I125" s="14">
        <f>C125/D125</f>
        <v>23.5</v>
      </c>
      <c r="J125" s="13">
        <v>783.505154639175</v>
      </c>
      <c r="K125" s="13">
        <v>2.14089347079038</v>
      </c>
    </row>
    <row r="126" ht="15.6" spans="1:11">
      <c r="A126" s="7">
        <v>196</v>
      </c>
      <c r="B126" s="7">
        <v>1</v>
      </c>
      <c r="C126" s="7">
        <v>40</v>
      </c>
      <c r="D126" s="7">
        <v>3</v>
      </c>
      <c r="E126" s="7" t="s">
        <v>11</v>
      </c>
      <c r="F126" s="7">
        <v>1</v>
      </c>
      <c r="G126" s="8">
        <v>1</v>
      </c>
      <c r="H126" s="9">
        <v>0.12817445482866</v>
      </c>
      <c r="I126" s="14">
        <f>C126/D126</f>
        <v>13.3333333333333</v>
      </c>
      <c r="J126" s="13">
        <v>389.408099688473</v>
      </c>
      <c r="K126" s="13">
        <v>1.73208722741433</v>
      </c>
    </row>
    <row r="127" ht="15.6" spans="1:11">
      <c r="A127" s="7">
        <v>149</v>
      </c>
      <c r="B127" s="7">
        <v>1</v>
      </c>
      <c r="C127" s="7">
        <v>39</v>
      </c>
      <c r="D127" s="7">
        <v>2</v>
      </c>
      <c r="E127" s="7" t="s">
        <v>11</v>
      </c>
      <c r="F127" s="7">
        <v>1</v>
      </c>
      <c r="G127" s="8">
        <v>1</v>
      </c>
      <c r="H127" s="9">
        <v>0.129118811881188</v>
      </c>
      <c r="I127" s="10">
        <v>4.39130434782609</v>
      </c>
      <c r="J127" s="13">
        <v>1151.81518151815</v>
      </c>
      <c r="K127" s="13">
        <v>1.87128712871287</v>
      </c>
    </row>
    <row r="128" ht="15.6" spans="1:11">
      <c r="A128" s="7">
        <v>211</v>
      </c>
      <c r="B128" s="10">
        <v>2</v>
      </c>
      <c r="C128" s="10">
        <v>40</v>
      </c>
      <c r="D128" s="10">
        <v>2</v>
      </c>
      <c r="E128" s="10" t="s">
        <v>11</v>
      </c>
      <c r="F128" s="10">
        <v>1</v>
      </c>
      <c r="G128" s="11">
        <v>1</v>
      </c>
      <c r="H128" s="12">
        <v>0.131422839506173</v>
      </c>
      <c r="I128" s="14">
        <f>C128/D128</f>
        <v>20</v>
      </c>
      <c r="J128" s="13">
        <v>583.333333333333</v>
      </c>
      <c r="K128" s="13">
        <v>1.70679012345679</v>
      </c>
    </row>
    <row r="129" ht="15.6" spans="1:11">
      <c r="A129" s="7">
        <v>210</v>
      </c>
      <c r="B129" s="10">
        <v>2</v>
      </c>
      <c r="C129" s="10">
        <v>84</v>
      </c>
      <c r="D129" s="10">
        <v>2</v>
      </c>
      <c r="E129" s="10" t="s">
        <v>12</v>
      </c>
      <c r="F129" s="10">
        <v>0</v>
      </c>
      <c r="G129" s="11">
        <v>1</v>
      </c>
      <c r="H129" s="12">
        <v>0.132798013245033</v>
      </c>
      <c r="I129" s="14">
        <f>C129/D129</f>
        <v>42</v>
      </c>
      <c r="J129" s="13">
        <v>1046.35761589404</v>
      </c>
      <c r="K129" s="13">
        <v>2.04304635761589</v>
      </c>
    </row>
    <row r="130" ht="15.6" spans="1:11">
      <c r="A130" s="7">
        <v>70</v>
      </c>
      <c r="B130" s="7">
        <v>1</v>
      </c>
      <c r="C130" s="7">
        <v>60</v>
      </c>
      <c r="D130" s="7">
        <v>3</v>
      </c>
      <c r="E130" s="7" t="s">
        <v>11</v>
      </c>
      <c r="F130" s="7">
        <v>1</v>
      </c>
      <c r="G130" s="8">
        <v>1</v>
      </c>
      <c r="H130" s="9">
        <v>0.136418338108883</v>
      </c>
      <c r="I130" s="14">
        <f>C130/D130</f>
        <v>20</v>
      </c>
      <c r="J130" s="13">
        <v>653.295128939828</v>
      </c>
      <c r="K130" s="13">
        <v>1.51575931232092</v>
      </c>
    </row>
    <row r="131" ht="15.6" spans="1:11">
      <c r="A131" s="7">
        <v>63</v>
      </c>
      <c r="B131" s="7">
        <v>1</v>
      </c>
      <c r="C131" s="7">
        <v>68</v>
      </c>
      <c r="D131" s="7">
        <v>2</v>
      </c>
      <c r="E131" s="7" t="s">
        <v>17</v>
      </c>
      <c r="F131" s="7">
        <v>0</v>
      </c>
      <c r="G131" s="8">
        <v>0</v>
      </c>
      <c r="H131" s="9">
        <v>0.136558404558405</v>
      </c>
      <c r="I131" s="14">
        <f>C131/D131</f>
        <v>34</v>
      </c>
      <c r="J131" s="13">
        <v>569.80056980057</v>
      </c>
      <c r="K131" s="13">
        <v>1.48433048433048</v>
      </c>
    </row>
    <row r="132" ht="15.6" spans="1:11">
      <c r="A132" s="7">
        <v>97</v>
      </c>
      <c r="B132" s="7">
        <v>1</v>
      </c>
      <c r="C132" s="7">
        <v>57</v>
      </c>
      <c r="D132" s="7">
        <v>3</v>
      </c>
      <c r="E132" s="7" t="s">
        <v>12</v>
      </c>
      <c r="F132" s="7">
        <v>0</v>
      </c>
      <c r="G132" s="8">
        <v>0</v>
      </c>
      <c r="H132" s="9">
        <v>0.138017699115044</v>
      </c>
      <c r="I132" s="14">
        <f>C132/D132</f>
        <v>19</v>
      </c>
      <c r="J132" s="13">
        <v>424.778761061947</v>
      </c>
      <c r="K132" s="13">
        <v>1.64306784660767</v>
      </c>
    </row>
    <row r="133" ht="15.6" spans="1:11">
      <c r="A133" s="7">
        <v>92</v>
      </c>
      <c r="B133" s="7">
        <v>1</v>
      </c>
      <c r="C133" s="7">
        <v>60</v>
      </c>
      <c r="D133" s="7">
        <v>2</v>
      </c>
      <c r="E133" s="7" t="s">
        <v>12</v>
      </c>
      <c r="F133" s="7">
        <v>0</v>
      </c>
      <c r="G133" s="8">
        <v>0</v>
      </c>
      <c r="H133" s="9">
        <v>0.138193548387097</v>
      </c>
      <c r="I133" s="14">
        <f>C133/D133</f>
        <v>30</v>
      </c>
      <c r="J133" s="13">
        <v>768.328445747801</v>
      </c>
      <c r="K133" s="13">
        <v>1.64516129032258</v>
      </c>
    </row>
    <row r="134" ht="15.6" spans="1:11">
      <c r="A134" s="7">
        <v>81</v>
      </c>
      <c r="B134" s="7">
        <v>2</v>
      </c>
      <c r="C134" s="7">
        <v>62</v>
      </c>
      <c r="D134" s="7">
        <v>3</v>
      </c>
      <c r="E134" s="7" t="s">
        <v>15</v>
      </c>
      <c r="F134" s="7">
        <v>0</v>
      </c>
      <c r="G134" s="8">
        <v>1</v>
      </c>
      <c r="H134" s="9">
        <v>0.139585185185185</v>
      </c>
      <c r="I134" s="14">
        <f>C134/D134</f>
        <v>20.6666666666667</v>
      </c>
      <c r="J134" s="13">
        <v>759.259259259259</v>
      </c>
      <c r="K134" s="13">
        <v>2.49259259259259</v>
      </c>
    </row>
    <row r="135" ht="15.6" spans="1:11">
      <c r="A135" s="7">
        <v>48</v>
      </c>
      <c r="B135" s="7">
        <v>1</v>
      </c>
      <c r="C135" s="7">
        <v>69</v>
      </c>
      <c r="D135" s="7">
        <v>3</v>
      </c>
      <c r="E135" s="7" t="s">
        <v>15</v>
      </c>
      <c r="F135" s="7">
        <v>0</v>
      </c>
      <c r="G135" s="8">
        <v>0</v>
      </c>
      <c r="H135" s="9">
        <v>0.140159544159544</v>
      </c>
      <c r="I135" s="14">
        <f>C135/D135</f>
        <v>23</v>
      </c>
      <c r="J135" s="13">
        <v>515.669515669516</v>
      </c>
      <c r="K135" s="13">
        <v>1.43019943019943</v>
      </c>
    </row>
    <row r="136" ht="15.6" spans="1:11">
      <c r="A136" s="7">
        <v>200</v>
      </c>
      <c r="B136" s="7">
        <v>1</v>
      </c>
      <c r="C136" s="7">
        <v>65</v>
      </c>
      <c r="D136" s="7">
        <v>3</v>
      </c>
      <c r="E136" s="7" t="s">
        <v>12</v>
      </c>
      <c r="F136" s="7">
        <v>0</v>
      </c>
      <c r="G136" s="8">
        <v>1</v>
      </c>
      <c r="H136" s="9">
        <v>0.143157894736842</v>
      </c>
      <c r="I136" s="14">
        <f>C136/D136</f>
        <v>21.6666666666667</v>
      </c>
      <c r="J136" s="13">
        <v>1348.17813765182</v>
      </c>
      <c r="K136" s="13">
        <v>2.75303643724696</v>
      </c>
    </row>
    <row r="137" ht="15.6" spans="1:11">
      <c r="A137" s="7">
        <v>150</v>
      </c>
      <c r="B137" s="7">
        <v>1</v>
      </c>
      <c r="C137" s="7">
        <v>71</v>
      </c>
      <c r="D137" s="7">
        <v>3</v>
      </c>
      <c r="E137" s="7" t="s">
        <v>12</v>
      </c>
      <c r="F137" s="7">
        <v>0</v>
      </c>
      <c r="G137" s="8">
        <v>0</v>
      </c>
      <c r="H137" s="9">
        <v>0.143369426751592</v>
      </c>
      <c r="I137" s="14">
        <f>C137/D137</f>
        <v>23.6666666666667</v>
      </c>
      <c r="J137" s="13">
        <v>961.783439490446</v>
      </c>
      <c r="K137" s="13">
        <v>1.7484076433121</v>
      </c>
    </row>
    <row r="138" ht="15.6" spans="1:11">
      <c r="A138" s="7">
        <v>142</v>
      </c>
      <c r="B138" s="7">
        <v>1</v>
      </c>
      <c r="C138" s="7">
        <v>55</v>
      </c>
      <c r="D138" s="7">
        <v>2</v>
      </c>
      <c r="E138" s="7" t="s">
        <v>16</v>
      </c>
      <c r="F138" s="7">
        <v>1</v>
      </c>
      <c r="G138" s="8">
        <v>1</v>
      </c>
      <c r="H138" s="9">
        <v>0.144725212464589</v>
      </c>
      <c r="I138" s="14">
        <f>C138/D138</f>
        <v>27.5</v>
      </c>
      <c r="J138" s="13">
        <v>702.549575070822</v>
      </c>
      <c r="K138" s="13">
        <v>1.40509915014164</v>
      </c>
    </row>
    <row r="139" ht="15.6" spans="1:11">
      <c r="A139" s="7">
        <v>74</v>
      </c>
      <c r="B139" s="7">
        <v>1</v>
      </c>
      <c r="C139" s="7">
        <v>63</v>
      </c>
      <c r="D139" s="7">
        <v>1</v>
      </c>
      <c r="E139" s="7" t="s">
        <v>20</v>
      </c>
      <c r="F139" s="7">
        <v>1</v>
      </c>
      <c r="G139" s="8">
        <v>1</v>
      </c>
      <c r="H139" s="9">
        <v>0.144748387096774</v>
      </c>
      <c r="I139" s="14">
        <f>C139/D139</f>
        <v>63</v>
      </c>
      <c r="J139" s="13">
        <v>490.322580645161</v>
      </c>
      <c r="K139" s="13">
        <v>1.83225806451613</v>
      </c>
    </row>
    <row r="140" ht="15.6" spans="1:11">
      <c r="A140" s="7">
        <v>36</v>
      </c>
      <c r="B140" s="7">
        <v>1</v>
      </c>
      <c r="C140" s="7">
        <v>67</v>
      </c>
      <c r="D140" s="7">
        <v>2</v>
      </c>
      <c r="E140" s="7" t="s">
        <v>15</v>
      </c>
      <c r="F140" s="7">
        <v>0</v>
      </c>
      <c r="G140" s="8">
        <v>0</v>
      </c>
      <c r="H140" s="9">
        <v>0.146045197740113</v>
      </c>
      <c r="I140" s="14">
        <f>C140/D140</f>
        <v>33.5</v>
      </c>
      <c r="J140" s="13">
        <v>449.152542372881</v>
      </c>
      <c r="K140" s="13">
        <v>1.46045197740113</v>
      </c>
    </row>
    <row r="141" ht="15.6" spans="1:11">
      <c r="A141" s="7">
        <v>61</v>
      </c>
      <c r="B141" s="7">
        <v>1</v>
      </c>
      <c r="C141" s="7">
        <v>63</v>
      </c>
      <c r="D141" s="7">
        <v>2</v>
      </c>
      <c r="E141" s="7" t="s">
        <v>11</v>
      </c>
      <c r="F141" s="7">
        <v>1</v>
      </c>
      <c r="G141" s="8">
        <v>1</v>
      </c>
      <c r="H141" s="9">
        <v>0.146215384615385</v>
      </c>
      <c r="I141" s="14">
        <f>C141/D141</f>
        <v>31.5</v>
      </c>
      <c r="J141" s="13">
        <v>638.461538461538</v>
      </c>
      <c r="K141" s="13">
        <v>2.21538461538461</v>
      </c>
    </row>
    <row r="142" ht="15.6" spans="1:11">
      <c r="A142" s="7">
        <v>208</v>
      </c>
      <c r="B142" s="10">
        <v>2</v>
      </c>
      <c r="C142" s="10">
        <v>43</v>
      </c>
      <c r="D142" s="10">
        <v>3</v>
      </c>
      <c r="E142" s="10" t="s">
        <v>15</v>
      </c>
      <c r="F142" s="10">
        <v>0</v>
      </c>
      <c r="G142" s="8">
        <v>0</v>
      </c>
      <c r="H142" s="9">
        <v>0.146930294906166</v>
      </c>
      <c r="I142" s="14">
        <f>C142/D142</f>
        <v>14.3333333333333</v>
      </c>
      <c r="J142" s="13">
        <v>479.892761394102</v>
      </c>
      <c r="K142" s="13">
        <v>1.30026809651475</v>
      </c>
    </row>
    <row r="143" ht="15.6" spans="1:11">
      <c r="A143" s="7">
        <v>72</v>
      </c>
      <c r="B143" s="7">
        <v>1</v>
      </c>
      <c r="C143" s="7">
        <v>64</v>
      </c>
      <c r="D143" s="7">
        <v>2</v>
      </c>
      <c r="E143" s="7" t="s">
        <v>21</v>
      </c>
      <c r="F143" s="7">
        <v>1</v>
      </c>
      <c r="G143" s="8">
        <v>1</v>
      </c>
      <c r="H143" s="9">
        <v>0.147688172043011</v>
      </c>
      <c r="I143" s="14">
        <f>C143/D143</f>
        <v>32</v>
      </c>
      <c r="J143" s="13">
        <v>620.071684587814</v>
      </c>
      <c r="K143" s="13">
        <v>2.20430107526882</v>
      </c>
    </row>
    <row r="144" ht="15.6" spans="1:11">
      <c r="A144" s="7">
        <v>99</v>
      </c>
      <c r="B144" s="7">
        <v>1</v>
      </c>
      <c r="C144" s="7">
        <v>53</v>
      </c>
      <c r="D144" s="7">
        <v>2</v>
      </c>
      <c r="E144" s="7" t="s">
        <v>14</v>
      </c>
      <c r="F144" s="7">
        <v>1</v>
      </c>
      <c r="G144" s="8">
        <v>1</v>
      </c>
      <c r="H144" s="9">
        <v>0.14771186440678</v>
      </c>
      <c r="I144" s="14">
        <f>C144/D144</f>
        <v>26.5</v>
      </c>
      <c r="J144" s="13">
        <v>677.966101694915</v>
      </c>
      <c r="K144" s="13">
        <v>1.96949152542373</v>
      </c>
    </row>
    <row r="145" ht="15.6" spans="1:11">
      <c r="A145" s="7">
        <v>178</v>
      </c>
      <c r="B145" s="7">
        <v>1</v>
      </c>
      <c r="C145" s="7">
        <v>48</v>
      </c>
      <c r="D145" s="7">
        <v>3</v>
      </c>
      <c r="E145" s="7" t="s">
        <v>15</v>
      </c>
      <c r="F145" s="7">
        <v>0</v>
      </c>
      <c r="G145" s="8">
        <v>0</v>
      </c>
      <c r="H145" s="9">
        <v>0.148014545454545</v>
      </c>
      <c r="I145" s="14">
        <f>C145/D145</f>
        <v>16</v>
      </c>
      <c r="J145" s="13">
        <v>621.818181818182</v>
      </c>
      <c r="K145" s="13">
        <v>2.31272727272727</v>
      </c>
    </row>
    <row r="146" ht="15.6" spans="1:11">
      <c r="A146" s="7">
        <v>37</v>
      </c>
      <c r="B146" s="7">
        <v>1</v>
      </c>
      <c r="C146" s="7">
        <v>62</v>
      </c>
      <c r="D146" s="7">
        <v>1</v>
      </c>
      <c r="E146" s="7" t="s">
        <v>12</v>
      </c>
      <c r="F146" s="7">
        <v>0</v>
      </c>
      <c r="G146" s="8">
        <v>1</v>
      </c>
      <c r="H146" s="9">
        <v>0.148247011952191</v>
      </c>
      <c r="I146" s="14">
        <f>C146/D146</f>
        <v>62</v>
      </c>
      <c r="J146" s="13">
        <v>956.175298804781</v>
      </c>
      <c r="K146" s="13">
        <v>2.43027888446215</v>
      </c>
    </row>
    <row r="147" ht="15.6" spans="1:11">
      <c r="A147" s="7">
        <v>218</v>
      </c>
      <c r="B147" s="10">
        <v>1</v>
      </c>
      <c r="C147" s="10">
        <v>64</v>
      </c>
      <c r="D147" s="10">
        <v>3</v>
      </c>
      <c r="E147" s="10" t="s">
        <v>12</v>
      </c>
      <c r="F147" s="10">
        <v>0</v>
      </c>
      <c r="G147" s="11">
        <v>1</v>
      </c>
      <c r="H147" s="12">
        <v>0.149769230769231</v>
      </c>
      <c r="I147" s="14">
        <f>C147/D147</f>
        <v>21.3333333333333</v>
      </c>
      <c r="J147" s="13">
        <v>1216.11721611722</v>
      </c>
      <c r="K147" s="13">
        <v>2.37728937728938</v>
      </c>
    </row>
    <row r="148" ht="15.6" spans="1:11">
      <c r="A148" s="7">
        <v>95</v>
      </c>
      <c r="B148" s="7">
        <v>2</v>
      </c>
      <c r="C148" s="7">
        <v>53</v>
      </c>
      <c r="D148" s="7">
        <v>3</v>
      </c>
      <c r="E148" s="7" t="s">
        <v>12</v>
      </c>
      <c r="F148" s="7">
        <v>0</v>
      </c>
      <c r="G148" s="8">
        <v>0</v>
      </c>
      <c r="H148" s="9">
        <v>0.15017125382263</v>
      </c>
      <c r="I148" s="14">
        <f>C148/D148</f>
        <v>17.6666666666667</v>
      </c>
      <c r="J148" s="13">
        <v>807.339449541284</v>
      </c>
      <c r="K148" s="13">
        <v>1.74617737003058</v>
      </c>
    </row>
    <row r="149" ht="15.6" spans="1:11">
      <c r="A149" s="7">
        <v>91</v>
      </c>
      <c r="B149" s="7">
        <v>1</v>
      </c>
      <c r="C149" s="7">
        <v>83</v>
      </c>
      <c r="D149" s="7">
        <v>2</v>
      </c>
      <c r="E149" s="7" t="s">
        <v>20</v>
      </c>
      <c r="F149" s="7">
        <v>1</v>
      </c>
      <c r="G149" s="8">
        <v>1</v>
      </c>
      <c r="H149" s="9">
        <v>0.151591397849462</v>
      </c>
      <c r="I149" s="14">
        <f>C149/D149</f>
        <v>41.5</v>
      </c>
      <c r="J149" s="13">
        <v>1698.9247311828</v>
      </c>
      <c r="K149" s="13">
        <v>3.98924731182796</v>
      </c>
    </row>
    <row r="150" ht="15.6" spans="1:11">
      <c r="A150" s="7">
        <v>123</v>
      </c>
      <c r="B150" s="7">
        <v>1</v>
      </c>
      <c r="C150" s="7">
        <v>60</v>
      </c>
      <c r="D150" s="7">
        <v>3</v>
      </c>
      <c r="E150" s="7" t="s">
        <v>15</v>
      </c>
      <c r="F150" s="7">
        <v>0</v>
      </c>
      <c r="G150" s="8">
        <v>0</v>
      </c>
      <c r="H150" s="9">
        <v>0.154677966101695</v>
      </c>
      <c r="I150" s="14">
        <f>C150/D150</f>
        <v>20</v>
      </c>
      <c r="J150" s="13">
        <v>383.050847457627</v>
      </c>
      <c r="K150" s="13">
        <v>1.98305084745763</v>
      </c>
    </row>
    <row r="151" ht="15.6" spans="1:11">
      <c r="A151" s="7">
        <v>10</v>
      </c>
      <c r="B151" s="7">
        <v>1</v>
      </c>
      <c r="C151" s="7">
        <v>56</v>
      </c>
      <c r="D151" s="7">
        <v>3</v>
      </c>
      <c r="E151" s="7" t="s">
        <v>12</v>
      </c>
      <c r="F151" s="7">
        <v>0</v>
      </c>
      <c r="G151" s="8">
        <v>1</v>
      </c>
      <c r="H151" s="9">
        <v>0.156202898550725</v>
      </c>
      <c r="I151" s="14">
        <f>C151/D151</f>
        <v>18.6666666666667</v>
      </c>
      <c r="J151" s="13">
        <v>572.463768115942</v>
      </c>
      <c r="K151" s="13">
        <v>2.29710144927536</v>
      </c>
    </row>
    <row r="152" ht="15.6" spans="1:11">
      <c r="A152" s="7">
        <v>195</v>
      </c>
      <c r="B152" s="7">
        <v>1</v>
      </c>
      <c r="C152" s="7">
        <v>47</v>
      </c>
      <c r="D152" s="7">
        <v>3</v>
      </c>
      <c r="E152" s="7" t="s">
        <v>11</v>
      </c>
      <c r="F152" s="7">
        <v>1</v>
      </c>
      <c r="G152" s="8">
        <v>1</v>
      </c>
      <c r="H152" s="9">
        <v>0.156590038314176</v>
      </c>
      <c r="I152" s="14">
        <f>C152/D152</f>
        <v>15.6666666666667</v>
      </c>
      <c r="J152" s="13">
        <v>172.413793103448</v>
      </c>
      <c r="K152" s="13">
        <v>2.56704980842912</v>
      </c>
    </row>
    <row r="153" ht="15.6" spans="1:11">
      <c r="A153" s="7">
        <v>216</v>
      </c>
      <c r="B153" s="10">
        <v>1</v>
      </c>
      <c r="C153" s="10">
        <v>46</v>
      </c>
      <c r="D153" s="10">
        <v>2</v>
      </c>
      <c r="E153" s="10" t="s">
        <v>23</v>
      </c>
      <c r="F153" s="10">
        <v>0</v>
      </c>
      <c r="G153" s="11">
        <v>1</v>
      </c>
      <c r="H153" s="12">
        <v>0.157290697674419</v>
      </c>
      <c r="I153" s="14">
        <f>C153/D153</f>
        <v>23</v>
      </c>
      <c r="J153" s="13">
        <v>267.441860465116</v>
      </c>
      <c r="K153" s="13">
        <v>1.45639534883721</v>
      </c>
    </row>
    <row r="154" ht="15.6" spans="1:11">
      <c r="A154" s="7">
        <v>28</v>
      </c>
      <c r="B154" s="7">
        <v>1</v>
      </c>
      <c r="C154" s="7">
        <v>42</v>
      </c>
      <c r="D154" s="7">
        <v>3</v>
      </c>
      <c r="E154" s="7" t="s">
        <v>15</v>
      </c>
      <c r="F154" s="7">
        <v>0</v>
      </c>
      <c r="G154" s="8">
        <v>0</v>
      </c>
      <c r="H154" s="9">
        <v>0.15890625</v>
      </c>
      <c r="I154" s="14">
        <f>C154/D154</f>
        <v>14</v>
      </c>
      <c r="J154" s="13">
        <v>910.15625</v>
      </c>
      <c r="K154" s="13">
        <v>2.6484375</v>
      </c>
    </row>
    <row r="155" ht="15.6" spans="1:11">
      <c r="A155" s="7">
        <v>66</v>
      </c>
      <c r="B155" s="7">
        <v>2</v>
      </c>
      <c r="C155" s="7">
        <v>66</v>
      </c>
      <c r="D155" s="7">
        <v>3</v>
      </c>
      <c r="E155" s="7" t="s">
        <v>12</v>
      </c>
      <c r="F155" s="7">
        <v>0</v>
      </c>
      <c r="G155" s="8">
        <v>0</v>
      </c>
      <c r="H155" s="9">
        <v>0.160524590163934</v>
      </c>
      <c r="I155" s="14">
        <f>C155/D155</f>
        <v>22</v>
      </c>
      <c r="J155" s="13">
        <v>606.55737704918</v>
      </c>
      <c r="K155" s="13">
        <v>1.78360655737705</v>
      </c>
    </row>
    <row r="156" ht="15.6" spans="1:11">
      <c r="A156" s="7">
        <v>146</v>
      </c>
      <c r="B156" s="7">
        <v>2</v>
      </c>
      <c r="C156" s="7">
        <v>54</v>
      </c>
      <c r="D156" s="7">
        <v>2</v>
      </c>
      <c r="E156" s="7" t="s">
        <v>15</v>
      </c>
      <c r="F156" s="7">
        <v>0</v>
      </c>
      <c r="G156" s="8">
        <v>0</v>
      </c>
      <c r="H156" s="9">
        <v>0.161032258064516</v>
      </c>
      <c r="I156" s="14">
        <f>C156/D156</f>
        <v>27</v>
      </c>
      <c r="J156" s="13">
        <v>795.698924731183</v>
      </c>
      <c r="K156" s="13">
        <v>2.23655913978495</v>
      </c>
    </row>
    <row r="157" ht="15.6" spans="1:11">
      <c r="A157" s="7">
        <v>223</v>
      </c>
      <c r="B157" s="10">
        <v>1</v>
      </c>
      <c r="C157" s="10">
        <v>84</v>
      </c>
      <c r="D157" s="10">
        <v>2</v>
      </c>
      <c r="E157" s="10" t="s">
        <v>15</v>
      </c>
      <c r="F157" s="10">
        <v>0</v>
      </c>
      <c r="G157" s="11">
        <v>1</v>
      </c>
      <c r="H157" s="12">
        <v>0.161052631578947</v>
      </c>
      <c r="I157" s="14">
        <f>C157/D157</f>
        <v>42</v>
      </c>
      <c r="J157" s="13">
        <v>1000</v>
      </c>
      <c r="K157" s="13">
        <v>2.68421052631579</v>
      </c>
    </row>
    <row r="158" ht="15.6" spans="1:11">
      <c r="A158" s="7">
        <v>71</v>
      </c>
      <c r="B158" s="7">
        <v>1</v>
      </c>
      <c r="C158" s="7">
        <v>63</v>
      </c>
      <c r="D158" s="7">
        <v>2</v>
      </c>
      <c r="E158" s="7" t="s">
        <v>11</v>
      </c>
      <c r="F158" s="7">
        <v>1</v>
      </c>
      <c r="G158" s="8">
        <v>1</v>
      </c>
      <c r="H158" s="9">
        <v>0.161402390438247</v>
      </c>
      <c r="I158" s="14">
        <f>C158/D158</f>
        <v>31.5</v>
      </c>
      <c r="J158" s="13">
        <v>1163.34661354582</v>
      </c>
      <c r="K158" s="13">
        <v>2.52191235059761</v>
      </c>
    </row>
    <row r="159" ht="15.6" spans="1:11">
      <c r="A159" s="7">
        <v>14</v>
      </c>
      <c r="B159" s="7">
        <v>1</v>
      </c>
      <c r="C159" s="7">
        <v>63</v>
      </c>
      <c r="D159" s="7">
        <v>2</v>
      </c>
      <c r="E159" s="7" t="s">
        <v>12</v>
      </c>
      <c r="F159" s="7">
        <v>0</v>
      </c>
      <c r="G159" s="8">
        <v>1</v>
      </c>
      <c r="H159" s="9">
        <v>0.162425531914894</v>
      </c>
      <c r="I159" s="14">
        <f>C159/D159</f>
        <v>31.5</v>
      </c>
      <c r="J159" s="13">
        <v>1378.72340425532</v>
      </c>
      <c r="K159" s="13">
        <v>2.9531914893617</v>
      </c>
    </row>
    <row r="160" ht="15.6" spans="1:11">
      <c r="A160" s="7">
        <v>23</v>
      </c>
      <c r="B160" s="7">
        <v>2</v>
      </c>
      <c r="C160" s="7">
        <v>56</v>
      </c>
      <c r="D160" s="7">
        <v>3</v>
      </c>
      <c r="E160" s="7" t="s">
        <v>12</v>
      </c>
      <c r="F160" s="7">
        <v>0</v>
      </c>
      <c r="G160" s="8">
        <v>0</v>
      </c>
      <c r="H160" s="9">
        <v>0.162546623794212</v>
      </c>
      <c r="I160" s="14">
        <f>C160/D160</f>
        <v>18.6666666666667</v>
      </c>
      <c r="J160" s="13">
        <v>784.565916398714</v>
      </c>
      <c r="K160" s="13">
        <v>1.82636655948553</v>
      </c>
    </row>
    <row r="161" ht="15.6" spans="1:11">
      <c r="A161" s="7">
        <v>185</v>
      </c>
      <c r="B161" s="7">
        <v>1</v>
      </c>
      <c r="C161" s="7">
        <v>47</v>
      </c>
      <c r="D161" s="7">
        <v>2</v>
      </c>
      <c r="E161" s="7" t="s">
        <v>19</v>
      </c>
      <c r="F161" s="7">
        <v>1</v>
      </c>
      <c r="G161" s="8">
        <v>1</v>
      </c>
      <c r="H161" s="9">
        <v>0.16389156626506</v>
      </c>
      <c r="I161" s="14">
        <f>C161/D161</f>
        <v>23.5</v>
      </c>
      <c r="J161" s="13">
        <v>714.859437751004</v>
      </c>
      <c r="K161" s="13">
        <v>2.68674698795181</v>
      </c>
    </row>
    <row r="162" ht="15.6" spans="1:11">
      <c r="A162" s="7">
        <v>151</v>
      </c>
      <c r="B162" s="7">
        <v>1</v>
      </c>
      <c r="C162" s="7">
        <v>44</v>
      </c>
      <c r="D162" s="7">
        <v>3</v>
      </c>
      <c r="E162" s="7" t="s">
        <v>19</v>
      </c>
      <c r="F162" s="7">
        <v>1</v>
      </c>
      <c r="G162" s="8">
        <v>1</v>
      </c>
      <c r="H162" s="9">
        <v>0.16389156626506</v>
      </c>
      <c r="I162" s="14">
        <f>C162/D162</f>
        <v>14.6666666666667</v>
      </c>
      <c r="J162" s="13">
        <v>714.859437751004</v>
      </c>
      <c r="K162" s="13">
        <v>2.68674698795181</v>
      </c>
    </row>
    <row r="163" ht="15.6" spans="1:11">
      <c r="A163" s="7">
        <v>174</v>
      </c>
      <c r="B163" s="7">
        <v>1</v>
      </c>
      <c r="C163" s="7">
        <v>47</v>
      </c>
      <c r="D163" s="7">
        <v>2</v>
      </c>
      <c r="E163" s="7" t="s">
        <v>12</v>
      </c>
      <c r="F163" s="7">
        <v>0</v>
      </c>
      <c r="G163" s="8">
        <v>0</v>
      </c>
      <c r="H163" s="9">
        <v>0.164312267657993</v>
      </c>
      <c r="I163" s="14">
        <f>C163/D163</f>
        <v>23.5</v>
      </c>
      <c r="J163" s="13">
        <v>1003.71747211896</v>
      </c>
      <c r="K163" s="13">
        <v>2.41635687732342</v>
      </c>
    </row>
    <row r="164" ht="15.6" spans="1:11">
      <c r="A164" s="7">
        <v>98</v>
      </c>
      <c r="B164" s="7">
        <v>1</v>
      </c>
      <c r="C164" s="7">
        <v>66</v>
      </c>
      <c r="D164" s="7">
        <v>2</v>
      </c>
      <c r="E164" s="7" t="s">
        <v>12</v>
      </c>
      <c r="F164" s="7">
        <v>0</v>
      </c>
      <c r="G164" s="8">
        <v>1</v>
      </c>
      <c r="H164" s="9">
        <v>0.164630363036304</v>
      </c>
      <c r="I164" s="14">
        <f>C164/D164</f>
        <v>33</v>
      </c>
      <c r="J164" s="13">
        <v>785.478547854785</v>
      </c>
      <c r="K164" s="13">
        <v>1.98349834983498</v>
      </c>
    </row>
    <row r="165" ht="15.6" spans="1:11">
      <c r="A165" s="7">
        <v>179</v>
      </c>
      <c r="B165" s="7">
        <v>1</v>
      </c>
      <c r="C165" s="7">
        <v>45</v>
      </c>
      <c r="D165" s="7">
        <v>2</v>
      </c>
      <c r="E165" s="7" t="s">
        <v>15</v>
      </c>
      <c r="F165" s="7">
        <v>0</v>
      </c>
      <c r="G165" s="8">
        <v>0</v>
      </c>
      <c r="H165" s="9">
        <v>0.16484126984127</v>
      </c>
      <c r="I165" s="14">
        <f>C165/D165</f>
        <v>22.5</v>
      </c>
      <c r="J165" s="13">
        <v>892.857142857143</v>
      </c>
      <c r="K165" s="13">
        <v>2.65873015873016</v>
      </c>
    </row>
    <row r="166" ht="15.6" spans="1:11">
      <c r="A166" s="7">
        <v>138</v>
      </c>
      <c r="B166" s="7">
        <v>1</v>
      </c>
      <c r="C166" s="7">
        <v>47</v>
      </c>
      <c r="D166" s="7">
        <v>2</v>
      </c>
      <c r="E166" s="7" t="s">
        <v>24</v>
      </c>
      <c r="F166" s="7">
        <v>1</v>
      </c>
      <c r="G166" s="8">
        <v>1</v>
      </c>
      <c r="H166" s="9">
        <v>0.165262295081967</v>
      </c>
      <c r="I166" s="14">
        <f>C166/D166</f>
        <v>23.5</v>
      </c>
      <c r="J166" s="13">
        <v>468.852459016393</v>
      </c>
      <c r="K166" s="13">
        <v>1.94426229508197</v>
      </c>
    </row>
    <row r="167" ht="15.6" spans="1:11">
      <c r="A167" s="7">
        <v>169</v>
      </c>
      <c r="B167" s="7">
        <v>1</v>
      </c>
      <c r="C167" s="7">
        <v>65</v>
      </c>
      <c r="D167" s="7">
        <v>2</v>
      </c>
      <c r="E167" s="7" t="s">
        <v>12</v>
      </c>
      <c r="F167" s="7">
        <v>0</v>
      </c>
      <c r="G167" s="8">
        <v>1</v>
      </c>
      <c r="H167" s="9">
        <v>0.167428571428571</v>
      </c>
      <c r="I167" s="14">
        <f>C167/D167</f>
        <v>32.5</v>
      </c>
      <c r="J167" s="13">
        <v>765.567765567765</v>
      </c>
      <c r="K167" s="13">
        <v>2.14652014652015</v>
      </c>
    </row>
    <row r="168" ht="15.6" spans="1:11">
      <c r="A168" s="7">
        <v>45</v>
      </c>
      <c r="B168" s="7">
        <v>2</v>
      </c>
      <c r="C168" s="7">
        <v>51</v>
      </c>
      <c r="D168" s="7">
        <v>2</v>
      </c>
      <c r="E168" s="7" t="s">
        <v>14</v>
      </c>
      <c r="F168" s="7">
        <v>1</v>
      </c>
      <c r="G168" s="8">
        <v>1</v>
      </c>
      <c r="H168" s="9">
        <v>0.167561128526646</v>
      </c>
      <c r="I168" s="14">
        <f>C168/D168</f>
        <v>25.5</v>
      </c>
      <c r="J168" s="13">
        <v>1015.67398119122</v>
      </c>
      <c r="K168" s="13">
        <v>1.82131661442006</v>
      </c>
    </row>
    <row r="169" ht="15.6" spans="1:11">
      <c r="A169" s="7">
        <v>115</v>
      </c>
      <c r="B169" s="7">
        <v>1</v>
      </c>
      <c r="C169" s="7">
        <v>71</v>
      </c>
      <c r="D169" s="7">
        <v>2</v>
      </c>
      <c r="E169" s="7" t="s">
        <v>20</v>
      </c>
      <c r="F169" s="7">
        <v>1</v>
      </c>
      <c r="G169" s="8">
        <v>1</v>
      </c>
      <c r="H169" s="9">
        <v>0.169876543209877</v>
      </c>
      <c r="I169" s="14">
        <f>C169/D169</f>
        <v>35.5</v>
      </c>
      <c r="J169" s="13">
        <v>995.884773662551</v>
      </c>
      <c r="K169" s="13">
        <v>2.83127572016461</v>
      </c>
    </row>
    <row r="170" ht="15.6" spans="1:11">
      <c r="A170" s="7">
        <v>80</v>
      </c>
      <c r="B170" s="7">
        <v>2</v>
      </c>
      <c r="C170" s="7">
        <v>53</v>
      </c>
      <c r="D170" s="7">
        <v>2</v>
      </c>
      <c r="E170" s="7" t="s">
        <v>20</v>
      </c>
      <c r="F170" s="7">
        <v>1</v>
      </c>
      <c r="G170" s="8">
        <v>1</v>
      </c>
      <c r="H170" s="9">
        <v>0.169977695167286</v>
      </c>
      <c r="I170" s="14">
        <f>C170/D170</f>
        <v>26.5</v>
      </c>
      <c r="J170" s="13">
        <v>992.565055762082</v>
      </c>
      <c r="K170" s="13">
        <v>2.39405204460967</v>
      </c>
    </row>
    <row r="171" ht="15.6" spans="1:11">
      <c r="A171" s="7">
        <v>124</v>
      </c>
      <c r="B171" s="7">
        <v>1</v>
      </c>
      <c r="C171" s="7">
        <v>61</v>
      </c>
      <c r="D171" s="7">
        <v>2</v>
      </c>
      <c r="E171" s="7" t="s">
        <v>12</v>
      </c>
      <c r="F171" s="7">
        <v>0</v>
      </c>
      <c r="G171" s="8">
        <v>1</v>
      </c>
      <c r="H171" s="9">
        <v>0.171071942446043</v>
      </c>
      <c r="I171" s="14">
        <f>C171/D171</f>
        <v>30.5</v>
      </c>
      <c r="J171" s="13">
        <v>798.561151079137</v>
      </c>
      <c r="K171" s="13">
        <v>2.16546762589928</v>
      </c>
    </row>
    <row r="172" ht="15.6" spans="1:11">
      <c r="A172" s="7">
        <v>53</v>
      </c>
      <c r="B172" s="7">
        <v>1</v>
      </c>
      <c r="C172" s="7">
        <v>43</v>
      </c>
      <c r="D172" s="7">
        <v>3</v>
      </c>
      <c r="E172" s="7" t="s">
        <v>12</v>
      </c>
      <c r="F172" s="7">
        <v>0</v>
      </c>
      <c r="G172" s="8">
        <v>0</v>
      </c>
      <c r="H172" s="9">
        <v>0.173787878787879</v>
      </c>
      <c r="I172" s="14">
        <f>C172/D172</f>
        <v>14.3333333333333</v>
      </c>
      <c r="J172" s="13">
        <v>666.666666666667</v>
      </c>
      <c r="K172" s="13">
        <v>2.34848484848485</v>
      </c>
    </row>
    <row r="173" ht="15.6" spans="1:11">
      <c r="A173" s="7">
        <v>6</v>
      </c>
      <c r="B173" s="7">
        <v>2</v>
      </c>
      <c r="C173" s="7">
        <v>64</v>
      </c>
      <c r="D173" s="7">
        <v>3</v>
      </c>
      <c r="E173" s="7" t="s">
        <v>15</v>
      </c>
      <c r="F173" s="7">
        <v>0</v>
      </c>
      <c r="G173" s="8">
        <v>1</v>
      </c>
      <c r="H173" s="9">
        <v>0.174103260869565</v>
      </c>
      <c r="I173" s="14">
        <f>C173/D173</f>
        <v>21.3333333333333</v>
      </c>
      <c r="J173" s="13">
        <v>2266.30434782609</v>
      </c>
      <c r="K173" s="13">
        <v>4.04891304347826</v>
      </c>
    </row>
    <row r="174" ht="15.6" spans="1:11">
      <c r="A174" s="7">
        <v>78</v>
      </c>
      <c r="B174" s="7">
        <v>1</v>
      </c>
      <c r="C174" s="7">
        <v>62</v>
      </c>
      <c r="D174" s="7">
        <v>2</v>
      </c>
      <c r="E174" s="7" t="s">
        <v>12</v>
      </c>
      <c r="F174" s="7">
        <v>0</v>
      </c>
      <c r="G174" s="8">
        <v>1</v>
      </c>
      <c r="H174" s="9">
        <v>0.176438247011952</v>
      </c>
      <c r="I174" s="14">
        <f>C174/D174</f>
        <v>31</v>
      </c>
      <c r="J174" s="13">
        <v>589.641434262948</v>
      </c>
      <c r="K174" s="13">
        <v>2.67330677290837</v>
      </c>
    </row>
    <row r="175" ht="15.6" spans="1:11">
      <c r="A175" s="7">
        <v>102</v>
      </c>
      <c r="B175" s="7">
        <v>1</v>
      </c>
      <c r="C175" s="7">
        <v>65</v>
      </c>
      <c r="D175" s="7">
        <v>3</v>
      </c>
      <c r="E175" s="7" t="s">
        <v>14</v>
      </c>
      <c r="F175" s="7">
        <v>1</v>
      </c>
      <c r="G175" s="8">
        <v>1</v>
      </c>
      <c r="H175" s="9">
        <v>0.180710526315789</v>
      </c>
      <c r="I175" s="14">
        <f>C175/D175</f>
        <v>21.6666666666667</v>
      </c>
      <c r="J175" s="13">
        <v>348.684210526316</v>
      </c>
      <c r="K175" s="13">
        <v>1.65789473684211</v>
      </c>
    </row>
    <row r="176" ht="15.6" spans="1:11">
      <c r="A176" s="7">
        <v>120</v>
      </c>
      <c r="B176" s="7">
        <v>1</v>
      </c>
      <c r="C176" s="7">
        <v>64</v>
      </c>
      <c r="D176" s="7">
        <v>2</v>
      </c>
      <c r="E176" s="7" t="s">
        <v>15</v>
      </c>
      <c r="F176" s="7">
        <v>0</v>
      </c>
      <c r="G176" s="8">
        <v>1</v>
      </c>
      <c r="H176" s="9">
        <v>0.181055363321799</v>
      </c>
      <c r="I176" s="14">
        <f>C176/D176</f>
        <v>32</v>
      </c>
      <c r="J176" s="13">
        <v>557.093425605536</v>
      </c>
      <c r="K176" s="13">
        <v>1.98961937716263</v>
      </c>
    </row>
    <row r="177" ht="15.6" spans="1:11">
      <c r="A177" s="7">
        <v>73</v>
      </c>
      <c r="B177" s="7">
        <v>1</v>
      </c>
      <c r="C177" s="7">
        <v>58</v>
      </c>
      <c r="D177" s="7">
        <v>2</v>
      </c>
      <c r="E177" s="7" t="s">
        <v>15</v>
      </c>
      <c r="F177" s="7">
        <v>0</v>
      </c>
      <c r="G177" s="8">
        <v>1</v>
      </c>
      <c r="H177" s="9">
        <v>0.181889763779528</v>
      </c>
      <c r="I177" s="14">
        <f>C177/D177</f>
        <v>29</v>
      </c>
      <c r="J177" s="13">
        <v>933.070866141732</v>
      </c>
      <c r="K177" s="13">
        <v>2.4251968503937</v>
      </c>
    </row>
    <row r="178" ht="15.6" spans="1:11">
      <c r="A178" s="7">
        <v>111</v>
      </c>
      <c r="B178" s="7">
        <v>1</v>
      </c>
      <c r="C178" s="7">
        <v>42</v>
      </c>
      <c r="D178" s="7">
        <v>2</v>
      </c>
      <c r="E178" s="7" t="s">
        <v>12</v>
      </c>
      <c r="F178" s="7">
        <v>0</v>
      </c>
      <c r="G178" s="8">
        <v>1</v>
      </c>
      <c r="H178" s="9">
        <v>0.186272727272727</v>
      </c>
      <c r="I178" s="14">
        <f>C178/D178</f>
        <v>21</v>
      </c>
      <c r="J178" s="13">
        <v>900.4329004329</v>
      </c>
      <c r="K178" s="13">
        <v>2.95670995670996</v>
      </c>
    </row>
    <row r="179" ht="15.6" spans="1:11">
      <c r="A179" s="7">
        <v>119</v>
      </c>
      <c r="B179" s="7">
        <v>2</v>
      </c>
      <c r="C179" s="7">
        <v>62</v>
      </c>
      <c r="D179" s="7">
        <v>2</v>
      </c>
      <c r="E179" s="7" t="s">
        <v>11</v>
      </c>
      <c r="F179" s="7">
        <v>1</v>
      </c>
      <c r="G179" s="8">
        <v>1</v>
      </c>
      <c r="H179" s="9">
        <v>0.189263157894737</v>
      </c>
      <c r="I179" s="14">
        <f>C179/D179</f>
        <v>31</v>
      </c>
      <c r="J179" s="13">
        <v>1043.85964912281</v>
      </c>
      <c r="K179" s="13">
        <v>3.05263157894737</v>
      </c>
    </row>
    <row r="180" ht="15.6" spans="1:11">
      <c r="A180" s="7">
        <v>201</v>
      </c>
      <c r="B180" s="7">
        <v>1</v>
      </c>
      <c r="C180" s="7">
        <v>58</v>
      </c>
      <c r="D180" s="7">
        <v>2</v>
      </c>
      <c r="E180" s="7" t="s">
        <v>22</v>
      </c>
      <c r="F180" s="7">
        <v>1</v>
      </c>
      <c r="G180" s="8">
        <v>1</v>
      </c>
      <c r="H180" s="9">
        <v>0.189674074074074</v>
      </c>
      <c r="I180" s="14">
        <f>C180/D180</f>
        <v>29</v>
      </c>
      <c r="J180" s="13">
        <v>1444.44444444444</v>
      </c>
      <c r="K180" s="13">
        <v>6.11851851851852</v>
      </c>
    </row>
    <row r="181" ht="15.6" spans="1:11">
      <c r="A181" s="7">
        <v>112</v>
      </c>
      <c r="B181" s="7">
        <v>1</v>
      </c>
      <c r="C181" s="7">
        <v>69</v>
      </c>
      <c r="D181" s="7">
        <v>3</v>
      </c>
      <c r="E181" s="7" t="s">
        <v>11</v>
      </c>
      <c r="F181" s="7">
        <v>1</v>
      </c>
      <c r="G181" s="8">
        <v>1</v>
      </c>
      <c r="H181" s="9">
        <v>0.194625</v>
      </c>
      <c r="I181" s="14">
        <f>C181/D181</f>
        <v>23</v>
      </c>
      <c r="J181" s="13">
        <v>1250</v>
      </c>
      <c r="K181" s="13">
        <v>3.08928571428571</v>
      </c>
    </row>
    <row r="182" ht="15.6" spans="1:11">
      <c r="A182" s="7">
        <v>87</v>
      </c>
      <c r="B182" s="7">
        <v>2</v>
      </c>
      <c r="C182" s="7">
        <v>47</v>
      </c>
      <c r="D182" s="7">
        <v>3</v>
      </c>
      <c r="E182" s="7" t="s">
        <v>16</v>
      </c>
      <c r="F182" s="7">
        <v>1</v>
      </c>
      <c r="G182" s="8">
        <v>1</v>
      </c>
      <c r="H182" s="9">
        <v>0.198245614035088</v>
      </c>
      <c r="I182" s="14">
        <f>C182/D182</f>
        <v>15.6666666666667</v>
      </c>
      <c r="J182" s="13">
        <v>1131.57894736842</v>
      </c>
      <c r="K182" s="13">
        <v>2.4780701754386</v>
      </c>
    </row>
    <row r="183" ht="15.6" spans="1:11">
      <c r="A183" s="7">
        <v>165</v>
      </c>
      <c r="B183" s="7">
        <v>1</v>
      </c>
      <c r="C183" s="7">
        <v>50</v>
      </c>
      <c r="D183" s="7">
        <v>2</v>
      </c>
      <c r="E183" s="7" t="s">
        <v>11</v>
      </c>
      <c r="F183" s="7">
        <v>1</v>
      </c>
      <c r="G183" s="8">
        <v>1</v>
      </c>
      <c r="H183" s="9">
        <v>0.19851376146789</v>
      </c>
      <c r="I183" s="14">
        <f>C183/D183</f>
        <v>25</v>
      </c>
      <c r="J183" s="13">
        <v>1229.35779816514</v>
      </c>
      <c r="K183" s="13">
        <v>3.20183486238532</v>
      </c>
    </row>
    <row r="184" ht="15.6" spans="1:11">
      <c r="A184" s="7">
        <v>51</v>
      </c>
      <c r="B184" s="7">
        <v>1</v>
      </c>
      <c r="C184" s="7">
        <v>66</v>
      </c>
      <c r="D184" s="7">
        <v>2</v>
      </c>
      <c r="E184" s="7" t="s">
        <v>19</v>
      </c>
      <c r="F184" s="7">
        <v>1</v>
      </c>
      <c r="G184" s="8">
        <v>1</v>
      </c>
      <c r="H184" s="9">
        <v>0.202918727915194</v>
      </c>
      <c r="I184" s="14">
        <f>C184/D184</f>
        <v>33</v>
      </c>
      <c r="J184" s="13">
        <v>1176.67844522968</v>
      </c>
      <c r="K184" s="13">
        <v>1.98939929328622</v>
      </c>
    </row>
    <row r="185" ht="15.6" spans="1:11">
      <c r="A185" s="7">
        <v>189</v>
      </c>
      <c r="B185" s="7">
        <v>1</v>
      </c>
      <c r="C185" s="7">
        <v>48</v>
      </c>
      <c r="D185" s="7">
        <v>2</v>
      </c>
      <c r="E185" s="7" t="s">
        <v>14</v>
      </c>
      <c r="F185" s="7">
        <v>1</v>
      </c>
      <c r="G185" s="8">
        <v>1</v>
      </c>
      <c r="H185" s="9">
        <v>0.204786610878661</v>
      </c>
      <c r="I185" s="14">
        <f>C185/D185</f>
        <v>24</v>
      </c>
      <c r="J185" s="13">
        <v>1033.47280334728</v>
      </c>
      <c r="K185" s="13">
        <v>2.69456066945607</v>
      </c>
    </row>
    <row r="186" ht="15.6" spans="1:11">
      <c r="A186" s="7">
        <v>145</v>
      </c>
      <c r="B186" s="7">
        <v>1</v>
      </c>
      <c r="C186" s="7">
        <v>59</v>
      </c>
      <c r="D186" s="7">
        <v>1</v>
      </c>
      <c r="E186" s="7" t="s">
        <v>21</v>
      </c>
      <c r="F186" s="7">
        <v>1</v>
      </c>
      <c r="G186" s="8">
        <v>1</v>
      </c>
      <c r="H186" s="9">
        <v>0.205633802816901</v>
      </c>
      <c r="I186" s="14">
        <f>C186/D186</f>
        <v>59</v>
      </c>
      <c r="J186" s="13">
        <v>887.323943661972</v>
      </c>
      <c r="K186" s="13">
        <v>2.05633802816901</v>
      </c>
    </row>
    <row r="187" ht="15.6" spans="1:11">
      <c r="A187" s="7">
        <v>177</v>
      </c>
      <c r="B187" s="7">
        <v>1</v>
      </c>
      <c r="C187" s="7">
        <v>53</v>
      </c>
      <c r="D187" s="7">
        <v>2</v>
      </c>
      <c r="E187" s="7" t="s">
        <v>12</v>
      </c>
      <c r="F187" s="7">
        <v>0</v>
      </c>
      <c r="G187" s="8">
        <v>0</v>
      </c>
      <c r="H187" s="9">
        <v>0.207243697478992</v>
      </c>
      <c r="I187" s="14">
        <f>C187/D187</f>
        <v>26.5</v>
      </c>
      <c r="J187" s="13">
        <v>1306.72268907563</v>
      </c>
      <c r="K187" s="13">
        <v>2.72689075630252</v>
      </c>
    </row>
    <row r="188" ht="15.6" spans="1:11">
      <c r="A188" s="7">
        <v>83</v>
      </c>
      <c r="B188" s="7">
        <v>1</v>
      </c>
      <c r="C188" s="7">
        <v>61</v>
      </c>
      <c r="D188" s="7">
        <v>2</v>
      </c>
      <c r="E188" s="7" t="s">
        <v>20</v>
      </c>
      <c r="F188" s="7">
        <v>1</v>
      </c>
      <c r="G188" s="8">
        <v>1</v>
      </c>
      <c r="H188" s="9">
        <v>0.211416666666667</v>
      </c>
      <c r="I188" s="14">
        <f>C188/D188</f>
        <v>30.5</v>
      </c>
      <c r="J188" s="13">
        <v>1355.55555555556</v>
      </c>
      <c r="K188" s="13">
        <v>3.58333333333333</v>
      </c>
    </row>
    <row r="189" ht="15.6" spans="1:11">
      <c r="A189" s="7">
        <v>21</v>
      </c>
      <c r="B189" s="7">
        <v>1</v>
      </c>
      <c r="C189" s="7">
        <v>58</v>
      </c>
      <c r="D189" s="7">
        <v>2</v>
      </c>
      <c r="E189" s="7" t="s">
        <v>20</v>
      </c>
      <c r="F189" s="7">
        <v>1</v>
      </c>
      <c r="G189" s="8">
        <v>1</v>
      </c>
      <c r="H189" s="9">
        <v>0.214461538461538</v>
      </c>
      <c r="I189" s="14">
        <f>C189/D189</f>
        <v>29</v>
      </c>
      <c r="J189" s="13">
        <v>1024.03846153846</v>
      </c>
      <c r="K189" s="13">
        <v>3.35096153846154</v>
      </c>
    </row>
    <row r="190" ht="15.6" spans="1:11">
      <c r="A190" s="7">
        <v>39</v>
      </c>
      <c r="B190" s="20">
        <v>1</v>
      </c>
      <c r="C190" s="20">
        <v>64</v>
      </c>
      <c r="D190" s="20">
        <v>2</v>
      </c>
      <c r="E190" s="20" t="s">
        <v>17</v>
      </c>
      <c r="F190" s="20">
        <v>0</v>
      </c>
      <c r="G190" s="21">
        <v>1</v>
      </c>
      <c r="H190" s="22">
        <v>0.22076171875</v>
      </c>
      <c r="I190" s="14">
        <f>C190/D190</f>
        <v>32</v>
      </c>
      <c r="J190" s="13">
        <v>726.5625</v>
      </c>
      <c r="K190" s="13">
        <v>2.48046875</v>
      </c>
    </row>
    <row r="191" ht="15.6" spans="1:11">
      <c r="A191" s="7">
        <v>118</v>
      </c>
      <c r="B191" s="7">
        <v>1</v>
      </c>
      <c r="C191" s="7">
        <v>51</v>
      </c>
      <c r="D191" s="7">
        <v>2</v>
      </c>
      <c r="E191" s="7" t="s">
        <v>12</v>
      </c>
      <c r="F191" s="7">
        <v>0</v>
      </c>
      <c r="G191" s="8">
        <v>0</v>
      </c>
      <c r="H191" s="9">
        <v>0.222114285714286</v>
      </c>
      <c r="I191" s="14">
        <f>C191/D191</f>
        <v>25.5</v>
      </c>
      <c r="J191" s="13">
        <v>1552.38095238095</v>
      </c>
      <c r="K191" s="13">
        <v>3.21904761904762</v>
      </c>
    </row>
    <row r="192" ht="15.6" spans="1:11">
      <c r="A192" s="7">
        <v>136</v>
      </c>
      <c r="B192" s="7">
        <v>1</v>
      </c>
      <c r="C192" s="7">
        <v>55</v>
      </c>
      <c r="D192" s="7">
        <v>2</v>
      </c>
      <c r="E192" s="7" t="s">
        <v>12</v>
      </c>
      <c r="F192" s="7">
        <v>0</v>
      </c>
      <c r="G192" s="8">
        <v>0</v>
      </c>
      <c r="H192" s="9">
        <v>0.22212</v>
      </c>
      <c r="I192" s="14">
        <f>C192/D192</f>
        <v>27.5</v>
      </c>
      <c r="J192" s="13">
        <v>664</v>
      </c>
      <c r="K192" s="13">
        <v>2.468</v>
      </c>
    </row>
    <row r="193" ht="15.6" spans="1:11">
      <c r="A193" s="7">
        <v>58</v>
      </c>
      <c r="B193" s="7">
        <v>1</v>
      </c>
      <c r="C193" s="7">
        <v>46</v>
      </c>
      <c r="D193" s="7">
        <v>2</v>
      </c>
      <c r="E193" s="7" t="s">
        <v>12</v>
      </c>
      <c r="F193" s="7">
        <v>0</v>
      </c>
      <c r="G193" s="8">
        <v>0</v>
      </c>
      <c r="H193" s="9">
        <v>0.222149606299213</v>
      </c>
      <c r="I193" s="14">
        <f>C193/D193</f>
        <v>23</v>
      </c>
      <c r="J193" s="13">
        <v>1236.22047244094</v>
      </c>
      <c r="K193" s="13">
        <v>2.49606299212598</v>
      </c>
    </row>
    <row r="194" ht="15.6" spans="1:11">
      <c r="A194" s="7">
        <v>140</v>
      </c>
      <c r="B194" s="7">
        <v>1</v>
      </c>
      <c r="C194" s="7">
        <v>37</v>
      </c>
      <c r="D194" s="7">
        <v>1</v>
      </c>
      <c r="E194" s="7" t="s">
        <v>17</v>
      </c>
      <c r="F194" s="7">
        <v>0</v>
      </c>
      <c r="G194" s="8">
        <v>1</v>
      </c>
      <c r="H194" s="9">
        <v>0.222333333333333</v>
      </c>
      <c r="I194" s="14">
        <f>C194/D194</f>
        <v>37</v>
      </c>
      <c r="J194" s="13">
        <v>1000</v>
      </c>
      <c r="K194" s="13">
        <v>2.55555555555556</v>
      </c>
    </row>
    <row r="195" ht="15.6" spans="1:11">
      <c r="A195" s="7">
        <v>121</v>
      </c>
      <c r="B195" s="7">
        <v>1</v>
      </c>
      <c r="C195" s="7">
        <v>69</v>
      </c>
      <c r="D195" s="7">
        <v>2</v>
      </c>
      <c r="E195" s="7" t="s">
        <v>12</v>
      </c>
      <c r="F195" s="7">
        <v>0</v>
      </c>
      <c r="G195" s="8">
        <v>1</v>
      </c>
      <c r="H195" s="9">
        <v>0.224064257028112</v>
      </c>
      <c r="I195" s="14">
        <f>C195/D195</f>
        <v>34.5</v>
      </c>
      <c r="J195" s="13">
        <v>839.357429718876</v>
      </c>
      <c r="K195" s="13">
        <v>2.54618473895582</v>
      </c>
    </row>
    <row r="196" ht="15.6" spans="1:11">
      <c r="A196" s="7">
        <v>59</v>
      </c>
      <c r="B196" s="7">
        <v>2</v>
      </c>
      <c r="C196" s="7">
        <v>76</v>
      </c>
      <c r="D196" s="7">
        <v>3</v>
      </c>
      <c r="E196" s="7" t="s">
        <v>11</v>
      </c>
      <c r="F196" s="7">
        <v>1</v>
      </c>
      <c r="G196" s="8">
        <v>1</v>
      </c>
      <c r="H196" s="9">
        <v>0.224629213483146</v>
      </c>
      <c r="I196" s="14">
        <f>C196/D196</f>
        <v>25.3333333333333</v>
      </c>
      <c r="J196" s="13">
        <v>1741.57303370787</v>
      </c>
      <c r="K196" s="13">
        <v>4.01123595505618</v>
      </c>
    </row>
    <row r="197" ht="15.6" spans="1:11">
      <c r="A197" s="7">
        <v>148</v>
      </c>
      <c r="B197" s="7">
        <v>1</v>
      </c>
      <c r="C197" s="7">
        <v>53</v>
      </c>
      <c r="D197" s="7">
        <v>2</v>
      </c>
      <c r="E197" s="7" t="s">
        <v>15</v>
      </c>
      <c r="F197" s="7">
        <v>0</v>
      </c>
      <c r="G197" s="8">
        <v>1</v>
      </c>
      <c r="H197" s="9">
        <v>0.228688524590164</v>
      </c>
      <c r="I197" s="14">
        <f>C197/D197</f>
        <v>26.5</v>
      </c>
      <c r="J197" s="13">
        <v>815.573770491803</v>
      </c>
      <c r="K197" s="13">
        <v>2.54098360655738</v>
      </c>
    </row>
    <row r="198" ht="15.6" spans="1:11">
      <c r="A198" s="7">
        <v>166</v>
      </c>
      <c r="B198" s="7">
        <v>2</v>
      </c>
      <c r="C198" s="7">
        <v>69</v>
      </c>
      <c r="D198" s="7">
        <v>3</v>
      </c>
      <c r="E198" s="7" t="s">
        <v>11</v>
      </c>
      <c r="F198" s="7">
        <v>1</v>
      </c>
      <c r="G198" s="8">
        <v>1</v>
      </c>
      <c r="H198" s="9">
        <v>0.228757281553398</v>
      </c>
      <c r="I198" s="14">
        <f>C198/D198</f>
        <v>23</v>
      </c>
      <c r="J198" s="13">
        <v>1917.47572815534</v>
      </c>
      <c r="K198" s="13">
        <v>3.36407766990291</v>
      </c>
    </row>
    <row r="199" ht="15.6" spans="1:11">
      <c r="A199" s="7">
        <v>67</v>
      </c>
      <c r="B199" s="7">
        <v>1</v>
      </c>
      <c r="C199" s="7">
        <v>49</v>
      </c>
      <c r="D199" s="7">
        <v>2</v>
      </c>
      <c r="E199" s="7" t="s">
        <v>21</v>
      </c>
      <c r="F199" s="7">
        <v>1</v>
      </c>
      <c r="G199" s="8">
        <v>1</v>
      </c>
      <c r="H199" s="9">
        <v>0.228909952606635</v>
      </c>
      <c r="I199" s="14">
        <f>C199/D199</f>
        <v>24.5</v>
      </c>
      <c r="J199" s="13">
        <v>914.691943127962</v>
      </c>
      <c r="K199" s="13">
        <v>3.3175355450237</v>
      </c>
    </row>
    <row r="200" ht="15.6" spans="1:11">
      <c r="A200" s="7">
        <v>203</v>
      </c>
      <c r="B200" s="7">
        <v>1</v>
      </c>
      <c r="C200" s="7">
        <v>64</v>
      </c>
      <c r="D200" s="7">
        <v>2</v>
      </c>
      <c r="E200" s="7" t="s">
        <v>12</v>
      </c>
      <c r="F200" s="7">
        <v>0</v>
      </c>
      <c r="G200" s="8">
        <v>1</v>
      </c>
      <c r="H200" s="9">
        <v>0.231542288557214</v>
      </c>
      <c r="I200" s="14">
        <f>C200/D200</f>
        <v>32</v>
      </c>
      <c r="J200" s="13">
        <v>751.243781094527</v>
      </c>
      <c r="K200" s="13">
        <v>3.56218905472637</v>
      </c>
    </row>
    <row r="201" ht="15.6" spans="1:11">
      <c r="A201" s="7">
        <v>5</v>
      </c>
      <c r="B201" s="7">
        <v>1</v>
      </c>
      <c r="C201" s="7">
        <v>26</v>
      </c>
      <c r="D201" s="7">
        <v>3</v>
      </c>
      <c r="E201" s="7" t="s">
        <v>14</v>
      </c>
      <c r="F201" s="7">
        <v>1</v>
      </c>
      <c r="G201" s="8">
        <v>1</v>
      </c>
      <c r="H201" s="9">
        <v>0.235384615384615</v>
      </c>
      <c r="I201" s="14">
        <f>C201/D201</f>
        <v>8.66666666666667</v>
      </c>
      <c r="J201" s="13">
        <v>829.959514170041</v>
      </c>
      <c r="K201" s="13">
        <v>2.61538461538462</v>
      </c>
    </row>
    <row r="202" ht="15.6" spans="1:11">
      <c r="A202" s="7">
        <v>155</v>
      </c>
      <c r="B202" s="7">
        <v>1</v>
      </c>
      <c r="C202" s="7">
        <v>23</v>
      </c>
      <c r="D202" s="7">
        <v>3</v>
      </c>
      <c r="E202" s="7" t="s">
        <v>14</v>
      </c>
      <c r="F202" s="7">
        <v>1</v>
      </c>
      <c r="G202" s="8">
        <v>1</v>
      </c>
      <c r="H202" s="9">
        <v>0.235384615384615</v>
      </c>
      <c r="I202" s="14">
        <f>C202/D202</f>
        <v>7.66666666666667</v>
      </c>
      <c r="J202" s="13">
        <v>829.959514170041</v>
      </c>
      <c r="K202" s="13">
        <v>2.61538461538462</v>
      </c>
    </row>
    <row r="203" ht="15.6" spans="1:11">
      <c r="A203" s="7">
        <v>62</v>
      </c>
      <c r="B203" s="7">
        <v>1</v>
      </c>
      <c r="C203" s="7">
        <v>76</v>
      </c>
      <c r="D203" s="7">
        <v>1</v>
      </c>
      <c r="E203" s="7"/>
      <c r="F203" s="7">
        <v>1</v>
      </c>
      <c r="G203" s="8">
        <v>1</v>
      </c>
      <c r="H203" s="9">
        <v>0.238203045685279</v>
      </c>
      <c r="I203" s="14">
        <f>C203/D203</f>
        <v>76</v>
      </c>
      <c r="J203" s="13">
        <v>812.182741116751</v>
      </c>
      <c r="K203" s="13">
        <v>3.60913705583756</v>
      </c>
    </row>
    <row r="204" ht="15.6" spans="1:11">
      <c r="A204" s="7">
        <v>173</v>
      </c>
      <c r="B204" s="7">
        <v>1</v>
      </c>
      <c r="C204" s="7">
        <v>50</v>
      </c>
      <c r="D204" s="7">
        <v>2</v>
      </c>
      <c r="E204" s="7" t="s">
        <v>11</v>
      </c>
      <c r="F204" s="7">
        <v>1</v>
      </c>
      <c r="G204" s="8">
        <v>1</v>
      </c>
      <c r="H204" s="9">
        <v>0.240833333333333</v>
      </c>
      <c r="I204" s="14">
        <f>C204/D204</f>
        <v>25</v>
      </c>
      <c r="J204" s="13">
        <v>1234.23423423423</v>
      </c>
      <c r="K204" s="13">
        <v>2.83333333333333</v>
      </c>
    </row>
    <row r="205" ht="15.6" spans="1:11">
      <c r="A205" s="7">
        <v>52</v>
      </c>
      <c r="B205" s="7">
        <v>1</v>
      </c>
      <c r="C205" s="7">
        <v>52</v>
      </c>
      <c r="D205" s="7">
        <v>2</v>
      </c>
      <c r="E205" s="7" t="s">
        <v>14</v>
      </c>
      <c r="F205" s="7">
        <v>1</v>
      </c>
      <c r="G205" s="8">
        <v>1</v>
      </c>
      <c r="H205" s="9">
        <v>0.24221359223301</v>
      </c>
      <c r="I205" s="14">
        <f>C205/D205</f>
        <v>26</v>
      </c>
      <c r="J205" s="13">
        <v>956.310679611651</v>
      </c>
      <c r="K205" s="13">
        <v>3.36407766990291</v>
      </c>
    </row>
    <row r="206" ht="15.6" spans="1:11">
      <c r="A206" s="7">
        <v>40</v>
      </c>
      <c r="B206" s="7">
        <v>1</v>
      </c>
      <c r="C206" s="7">
        <v>54</v>
      </c>
      <c r="D206" s="7">
        <v>3</v>
      </c>
      <c r="E206" s="7" t="s">
        <v>20</v>
      </c>
      <c r="F206" s="7">
        <v>1</v>
      </c>
      <c r="G206" s="8">
        <v>1</v>
      </c>
      <c r="H206" s="9">
        <v>0.247549295774648</v>
      </c>
      <c r="I206" s="14">
        <f>C206/D206</f>
        <v>18</v>
      </c>
      <c r="J206" s="13">
        <v>535.211267605634</v>
      </c>
      <c r="K206" s="13">
        <v>3.17370892018779</v>
      </c>
    </row>
    <row r="207" ht="15.6" spans="1:11">
      <c r="A207" s="7">
        <v>2</v>
      </c>
      <c r="B207" s="7">
        <v>1</v>
      </c>
      <c r="C207" s="7">
        <v>56</v>
      </c>
      <c r="D207" s="7">
        <v>1</v>
      </c>
      <c r="E207" s="7" t="s">
        <v>15</v>
      </c>
      <c r="F207" s="7">
        <v>0</v>
      </c>
      <c r="G207" s="8">
        <v>0</v>
      </c>
      <c r="H207" s="9">
        <v>0.2496</v>
      </c>
      <c r="I207" s="14">
        <f>C207/D207</f>
        <v>56</v>
      </c>
      <c r="J207" s="13">
        <v>468.085106382979</v>
      </c>
      <c r="K207" s="13">
        <v>2.6</v>
      </c>
    </row>
    <row r="208" ht="15.6" spans="1:11">
      <c r="A208" s="7">
        <v>131</v>
      </c>
      <c r="B208" s="7">
        <v>1</v>
      </c>
      <c r="C208" s="7">
        <v>48</v>
      </c>
      <c r="D208" s="7">
        <v>1</v>
      </c>
      <c r="E208" s="7" t="s">
        <v>12</v>
      </c>
      <c r="F208" s="7">
        <v>0</v>
      </c>
      <c r="G208" s="8">
        <v>0</v>
      </c>
      <c r="H208" s="9">
        <v>0.256579908675799</v>
      </c>
      <c r="I208" s="14">
        <f>C208/D208</f>
        <v>48</v>
      </c>
      <c r="J208" s="13">
        <v>794.520547945206</v>
      </c>
      <c r="K208" s="13">
        <v>3.09132420091324</v>
      </c>
    </row>
    <row r="209" ht="15.6" spans="1:11">
      <c r="A209" s="7">
        <v>114</v>
      </c>
      <c r="B209" s="7">
        <v>1</v>
      </c>
      <c r="C209" s="7">
        <v>46</v>
      </c>
      <c r="D209" s="7">
        <v>3</v>
      </c>
      <c r="E209" s="7" t="s">
        <v>16</v>
      </c>
      <c r="F209" s="7">
        <v>1</v>
      </c>
      <c r="G209" s="8">
        <v>1</v>
      </c>
      <c r="H209" s="9">
        <v>0.258416988416988</v>
      </c>
      <c r="I209" s="14">
        <f>C209/D209</f>
        <v>15.3333333333333</v>
      </c>
      <c r="J209" s="13">
        <v>945.945945945946</v>
      </c>
      <c r="K209" s="13">
        <v>2.24710424710425</v>
      </c>
    </row>
    <row r="210" ht="15.6" spans="1:11">
      <c r="A210" s="7">
        <v>100</v>
      </c>
      <c r="B210" s="7">
        <v>1</v>
      </c>
      <c r="C210" s="7">
        <v>53</v>
      </c>
      <c r="D210" s="7">
        <v>2</v>
      </c>
      <c r="E210" s="7" t="s">
        <v>12</v>
      </c>
      <c r="F210" s="7">
        <v>0</v>
      </c>
      <c r="G210" s="8">
        <v>1</v>
      </c>
      <c r="H210" s="9">
        <v>0.262857692307692</v>
      </c>
      <c r="I210" s="14">
        <f>C210/D210</f>
        <v>26.5</v>
      </c>
      <c r="J210" s="13">
        <v>707.692307692308</v>
      </c>
      <c r="K210" s="13">
        <v>2.41153846153846</v>
      </c>
    </row>
    <row r="211" ht="15.6" spans="1:11">
      <c r="A211" s="7">
        <v>113</v>
      </c>
      <c r="B211" s="7">
        <v>1</v>
      </c>
      <c r="C211" s="7">
        <v>75</v>
      </c>
      <c r="D211" s="7">
        <v>2</v>
      </c>
      <c r="E211" s="7" t="s">
        <v>15</v>
      </c>
      <c r="F211" s="7">
        <v>0</v>
      </c>
      <c r="G211" s="8">
        <v>1</v>
      </c>
      <c r="H211" s="9">
        <v>0.270242424242424</v>
      </c>
      <c r="I211" s="14">
        <f>C211/D211</f>
        <v>37.5</v>
      </c>
      <c r="J211" s="13">
        <v>709.95670995671</v>
      </c>
      <c r="K211" s="13">
        <v>2.75757575757576</v>
      </c>
    </row>
    <row r="212" ht="15.6" spans="1:11">
      <c r="A212" s="7">
        <v>7</v>
      </c>
      <c r="B212" s="7">
        <v>1</v>
      </c>
      <c r="C212" s="7">
        <v>50</v>
      </c>
      <c r="D212" s="7">
        <v>1</v>
      </c>
      <c r="E212" s="7" t="s">
        <v>20</v>
      </c>
      <c r="F212" s="7">
        <v>0</v>
      </c>
      <c r="G212" s="8">
        <v>1</v>
      </c>
      <c r="H212" s="9">
        <v>0.278239631336406</v>
      </c>
      <c r="I212" s="14">
        <f>C212/D212</f>
        <v>50</v>
      </c>
      <c r="J212" s="13">
        <v>1516.12903225806</v>
      </c>
      <c r="K212" s="13">
        <v>3.19815668202765</v>
      </c>
    </row>
    <row r="213" ht="15.6" spans="1:11">
      <c r="A213" s="7">
        <v>135</v>
      </c>
      <c r="B213" s="7">
        <v>1</v>
      </c>
      <c r="C213" s="7">
        <v>42</v>
      </c>
      <c r="D213" s="7">
        <v>2</v>
      </c>
      <c r="E213" s="7" t="s">
        <v>25</v>
      </c>
      <c r="F213" s="7">
        <v>1</v>
      </c>
      <c r="G213" s="8">
        <v>1</v>
      </c>
      <c r="H213" s="9">
        <v>0.281372781065089</v>
      </c>
      <c r="I213" s="14">
        <f>C213/D213</f>
        <v>21</v>
      </c>
      <c r="J213" s="13">
        <v>1449.70414201183</v>
      </c>
      <c r="K213" s="13">
        <v>4.39644970414201</v>
      </c>
    </row>
    <row r="214" ht="15.6" spans="1:11">
      <c r="A214" s="7">
        <v>127</v>
      </c>
      <c r="B214" s="7">
        <v>2</v>
      </c>
      <c r="C214" s="7">
        <v>73</v>
      </c>
      <c r="D214" s="7">
        <v>3</v>
      </c>
      <c r="E214" s="7" t="s">
        <v>12</v>
      </c>
      <c r="F214" s="7">
        <v>0</v>
      </c>
      <c r="G214" s="8">
        <v>1</v>
      </c>
      <c r="H214" s="9">
        <v>0.287668246445498</v>
      </c>
      <c r="I214" s="14">
        <f>C214/D214</f>
        <v>24.3333333333333</v>
      </c>
      <c r="J214" s="13">
        <v>786.729857819905</v>
      </c>
      <c r="K214" s="13">
        <v>3.23222748815166</v>
      </c>
    </row>
    <row r="215" ht="15.6" spans="1:11">
      <c r="A215" s="7">
        <v>11</v>
      </c>
      <c r="B215" s="7">
        <v>1</v>
      </c>
      <c r="C215" s="7">
        <v>50</v>
      </c>
      <c r="D215" s="7">
        <v>2</v>
      </c>
      <c r="E215" s="7" t="s">
        <v>12</v>
      </c>
      <c r="F215" s="7">
        <v>0</v>
      </c>
      <c r="G215" s="8">
        <v>0</v>
      </c>
      <c r="H215" s="9">
        <v>0.290149253731343</v>
      </c>
      <c r="I215" s="14">
        <f>C215/D215</f>
        <v>25</v>
      </c>
      <c r="J215" s="13">
        <v>425.373134328358</v>
      </c>
      <c r="K215" s="13">
        <v>6.04477611940298</v>
      </c>
    </row>
    <row r="216" ht="15.6" spans="1:11">
      <c r="A216" s="7">
        <v>44</v>
      </c>
      <c r="B216" s="7">
        <v>2</v>
      </c>
      <c r="C216" s="7">
        <v>85</v>
      </c>
      <c r="D216" s="7">
        <v>3</v>
      </c>
      <c r="E216" s="7" t="s">
        <v>15</v>
      </c>
      <c r="F216" s="7">
        <v>0</v>
      </c>
      <c r="G216" s="8">
        <v>1</v>
      </c>
      <c r="H216" s="9">
        <v>0.335608695652174</v>
      </c>
      <c r="I216" s="14">
        <f>C216/D216</f>
        <v>28.3333333333333</v>
      </c>
      <c r="J216" s="13">
        <v>1163.04347826087</v>
      </c>
      <c r="K216" s="13">
        <v>3.60869565217391</v>
      </c>
    </row>
    <row r="217" ht="15.6" spans="1:11">
      <c r="A217" s="7">
        <v>110</v>
      </c>
      <c r="B217" s="7">
        <v>1</v>
      </c>
      <c r="C217" s="7">
        <v>59</v>
      </c>
      <c r="D217" s="7">
        <v>1</v>
      </c>
      <c r="E217" s="7" t="s">
        <v>14</v>
      </c>
      <c r="F217" s="7">
        <v>1</v>
      </c>
      <c r="G217" s="8">
        <v>1</v>
      </c>
      <c r="H217" s="9">
        <v>0.340730263157895</v>
      </c>
      <c r="I217" s="14">
        <f>C217/D217</f>
        <v>59</v>
      </c>
      <c r="J217" s="13">
        <v>250</v>
      </c>
      <c r="K217" s="13">
        <v>5.08552631578947</v>
      </c>
    </row>
    <row r="218" ht="15.6" spans="1:11">
      <c r="A218" s="7">
        <v>56</v>
      </c>
      <c r="B218" s="7">
        <v>1</v>
      </c>
      <c r="C218" s="7">
        <v>47</v>
      </c>
      <c r="D218" s="7">
        <v>3</v>
      </c>
      <c r="E218" s="7" t="s">
        <v>19</v>
      </c>
      <c r="F218" s="7">
        <v>1</v>
      </c>
      <c r="G218" s="8">
        <v>1</v>
      </c>
      <c r="H218" s="9">
        <v>0.360619469</v>
      </c>
      <c r="I218" s="14">
        <f>C218/D218</f>
        <v>15.6666666666667</v>
      </c>
      <c r="J218" s="13">
        <v>2823.00884955752</v>
      </c>
      <c r="K218" s="13">
        <v>7.21238938</v>
      </c>
    </row>
    <row r="219" ht="15.6" spans="1:11">
      <c r="A219" s="7">
        <v>55</v>
      </c>
      <c r="B219" s="7">
        <v>1</v>
      </c>
      <c r="C219" s="7">
        <v>58</v>
      </c>
      <c r="D219" s="7">
        <v>2</v>
      </c>
      <c r="E219" s="7" t="s">
        <v>17</v>
      </c>
      <c r="F219" s="7">
        <v>0</v>
      </c>
      <c r="G219" s="8">
        <v>1</v>
      </c>
      <c r="H219" s="9">
        <v>0.368542553191489</v>
      </c>
      <c r="I219" s="14">
        <f>C219/D219</f>
        <v>29</v>
      </c>
      <c r="J219" s="13">
        <v>2510.63829787234</v>
      </c>
      <c r="K219" s="13">
        <v>3.76063829787234</v>
      </c>
    </row>
    <row r="220" ht="15.6" spans="1:11">
      <c r="A220" s="7">
        <v>129</v>
      </c>
      <c r="B220" s="7">
        <v>1</v>
      </c>
      <c r="C220" s="7">
        <v>75</v>
      </c>
      <c r="D220" s="7">
        <v>3</v>
      </c>
      <c r="E220" s="7" t="s">
        <v>21</v>
      </c>
      <c r="F220" s="7">
        <v>1</v>
      </c>
      <c r="G220" s="8">
        <v>1</v>
      </c>
      <c r="H220" s="9">
        <v>0.378146666666667</v>
      </c>
      <c r="I220" s="14">
        <f>C220/D220</f>
        <v>25</v>
      </c>
      <c r="J220" s="13">
        <v>1346.66666666667</v>
      </c>
      <c r="K220" s="13">
        <v>4.78666666666667</v>
      </c>
    </row>
    <row r="221" ht="15.6" spans="1:11">
      <c r="A221" s="7">
        <v>3</v>
      </c>
      <c r="B221" s="7">
        <v>1</v>
      </c>
      <c r="C221" s="7">
        <v>79</v>
      </c>
      <c r="D221" s="7">
        <v>2</v>
      </c>
      <c r="E221" s="7" t="s">
        <v>12</v>
      </c>
      <c r="F221" s="7">
        <v>0</v>
      </c>
      <c r="G221" s="8">
        <v>1</v>
      </c>
      <c r="H221" s="9">
        <v>0.388546052631579</v>
      </c>
      <c r="I221" s="14">
        <f>C221/D221</f>
        <v>39.5</v>
      </c>
      <c r="J221" s="13">
        <v>1361.84210526316</v>
      </c>
      <c r="K221" s="13">
        <v>5.04605263157895</v>
      </c>
    </row>
    <row r="222" ht="15.6" spans="1:11">
      <c r="A222" s="7">
        <v>198</v>
      </c>
      <c r="B222" s="7">
        <v>1</v>
      </c>
      <c r="C222" s="7">
        <v>60</v>
      </c>
      <c r="D222" s="7">
        <v>2</v>
      </c>
      <c r="E222" s="7" t="s">
        <v>19</v>
      </c>
      <c r="F222" s="7">
        <v>1</v>
      </c>
      <c r="G222" s="8">
        <v>1</v>
      </c>
      <c r="H222" s="9">
        <v>0.395298076923077</v>
      </c>
      <c r="I222" s="14">
        <f>C222/D222</f>
        <v>30</v>
      </c>
      <c r="J222" s="13">
        <v>1884.61538461538</v>
      </c>
      <c r="K222" s="13">
        <v>8.06730769230769</v>
      </c>
    </row>
    <row r="223" ht="15.6" spans="1:11">
      <c r="A223" s="7">
        <v>167</v>
      </c>
      <c r="B223" s="7">
        <v>1</v>
      </c>
      <c r="C223" s="7">
        <v>56</v>
      </c>
      <c r="D223" s="7">
        <v>2</v>
      </c>
      <c r="E223" s="7" t="s">
        <v>14</v>
      </c>
      <c r="F223" s="7">
        <v>1</v>
      </c>
      <c r="G223" s="8">
        <v>1</v>
      </c>
      <c r="H223" s="9">
        <v>0.422546012269939</v>
      </c>
      <c r="I223" s="14">
        <f>C223/D223</f>
        <v>28</v>
      </c>
      <c r="J223" s="13">
        <v>1245.39877300613</v>
      </c>
      <c r="K223" s="13">
        <v>4.4478527607362</v>
      </c>
    </row>
    <row r="224" ht="15.6" spans="1:11">
      <c r="A224" s="7">
        <v>9</v>
      </c>
      <c r="B224" s="7">
        <v>2</v>
      </c>
      <c r="C224" s="7">
        <v>65</v>
      </c>
      <c r="D224" s="7">
        <v>2</v>
      </c>
      <c r="E224" s="7" t="s">
        <v>14</v>
      </c>
      <c r="F224" s="7">
        <v>1</v>
      </c>
      <c r="G224" s="8">
        <v>1</v>
      </c>
      <c r="H224" s="9">
        <v>0.522558823529412</v>
      </c>
      <c r="I224" s="14">
        <f>C224/D224</f>
        <v>32.5</v>
      </c>
      <c r="J224" s="13">
        <v>1176.47058823529</v>
      </c>
      <c r="K224" s="13">
        <v>4.79411764705882</v>
      </c>
    </row>
    <row r="225" ht="15.6" spans="1:11">
      <c r="A225" s="7">
        <v>89</v>
      </c>
      <c r="B225" s="7">
        <v>1</v>
      </c>
      <c r="C225" s="7">
        <v>56</v>
      </c>
      <c r="D225" s="7">
        <v>1</v>
      </c>
      <c r="E225" s="7" t="s">
        <v>12</v>
      </c>
      <c r="F225" s="7">
        <v>0</v>
      </c>
      <c r="G225" s="8">
        <v>0</v>
      </c>
      <c r="H225" s="9">
        <v>0.590127118644068</v>
      </c>
      <c r="I225" s="14">
        <f>C225/D225</f>
        <v>56</v>
      </c>
      <c r="J225" s="13">
        <v>2186.4406779661</v>
      </c>
      <c r="K225" s="13">
        <v>6.21186440677966</v>
      </c>
    </row>
  </sheetData>
  <autoFilter ref="A1:K225">
    <sortState ref="A2:K225">
      <sortCondition ref="H1"/>
    </sortState>
    <extLst/>
  </autoFilter>
  <mergeCells count="1">
    <mergeCell ref="L3:N3"/>
  </mergeCells>
  <pageMargins left="0.75" right="0.75" top="1" bottom="1" header="0.5" footer="0.5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1">
    <comment s:ref="B1" rgbClr="DAC570"/>
    <comment s:ref="D1" rgbClr="DAC570"/>
    <comment s:ref="F1" rgbClr="DAC570"/>
    <comment s:ref="G1" rgbClr="4FCAA8"/>
    <comment s:ref="I1" rgbClr="73C384"/>
  </commentList>
</comment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李粮博</dc:creator>
  <cp:lastModifiedBy>一路向前</cp:lastModifiedBy>
  <dcterms:created xsi:type="dcterms:W3CDTF">2022-05-06T00:36:00Z</dcterms:created>
  <dcterms:modified xsi:type="dcterms:W3CDTF">2022-05-06T08:53:18Z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C8D54A83614F4DACAA1716DCB43773A8</vt:lpwstr>
  </property>
  <property fmtid="{D5CDD505-2E9C-101B-9397-08002B2CF9AE}" pid="3" name="KSOProductBuildVer">
    <vt:lpwstr>2052-11.1.0.11636</vt:lpwstr>
  </property>
</Properties>
</file>