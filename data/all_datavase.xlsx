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10740"/>
  </bookViews>
  <sheets>
    <sheet name="Sheet1" sheetId="1" r:id="rId1"/>
  </sheets>
  <definedNames>
    <definedName name="_xlnm._FilterDatabase" localSheetId="0" hidden="1">Sheet1!$A$1:$BC$225</definedName>
  </definedNames>
  <calcPr calcId="144525"/>
</workbook>
</file>

<file path=xl/comments1.xml><?xml version="1.0" encoding="utf-8"?>
<comments xmlns="http://schemas.openxmlformats.org/spreadsheetml/2006/main">
  <authors>
    <author>李粮博</author>
  </authors>
  <commentList>
    <comment ref="C1" authorId="0">
      <text>
        <r>
          <rPr>
            <sz val="9"/>
            <rFont val="宋体"/>
            <charset val="134"/>
          </rPr>
          <t>高危组：1
低危组：0</t>
        </r>
      </text>
    </comment>
    <comment ref="D1" authorId="0">
      <text>
        <r>
          <rPr>
            <sz val="9"/>
            <rFont val="宋体"/>
            <charset val="134"/>
          </rPr>
          <t xml:space="preserve">1：男
2：女
</t>
        </r>
      </text>
    </comment>
    <comment ref="F1" authorId="0">
      <text>
        <r>
          <rPr>
            <sz val="9"/>
            <rFont val="宋体"/>
            <charset val="134"/>
          </rPr>
          <t>0：无
1：有</t>
        </r>
      </text>
    </comment>
    <comment ref="G1" authorId="0">
      <text>
        <r>
          <rPr>
            <sz val="9"/>
            <rFont val="宋体"/>
            <charset val="134"/>
          </rPr>
          <t>0：无
1：有</t>
        </r>
      </text>
    </comment>
    <comment ref="K1" authorId="0">
      <text>
        <r>
          <rPr>
            <sz val="9"/>
            <rFont val="宋体"/>
            <charset val="134"/>
          </rPr>
          <t xml:space="preserve">外周中性粒细胞
</t>
        </r>
      </text>
    </comment>
    <comment ref="L1" authorId="0">
      <text>
        <r>
          <rPr>
            <sz val="9"/>
            <rFont val="宋体"/>
            <charset val="134"/>
          </rPr>
          <t xml:space="preserve">淋巴细胞
</t>
        </r>
      </text>
    </comment>
    <comment ref="M1" authorId="0">
      <text>
        <r>
          <rPr>
            <sz val="9"/>
            <rFont val="宋体"/>
            <charset val="134"/>
          </rPr>
          <t xml:space="preserve">单核细胞
</t>
        </r>
      </text>
    </comment>
    <comment ref="O1" authorId="0">
      <text>
        <r>
          <rPr>
            <sz val="9"/>
            <rFont val="宋体"/>
            <charset val="134"/>
          </rPr>
          <t xml:space="preserve">SIRI=（N*M)/L
</t>
        </r>
      </text>
    </comment>
    <comment ref="P1" authorId="0">
      <text>
        <r>
          <rPr>
            <sz val="9"/>
            <rFont val="宋体"/>
            <charset val="134"/>
          </rPr>
          <t>LMR=
L/M</t>
        </r>
      </text>
    </comment>
    <comment ref="Q1" authorId="0">
      <text>
        <r>
          <rPr>
            <sz val="9"/>
            <rFont val="宋体"/>
            <charset val="134"/>
          </rPr>
          <t>PLR=P/L</t>
        </r>
      </text>
    </comment>
    <comment ref="R1" authorId="0">
      <text>
        <r>
          <rPr>
            <sz val="9"/>
            <rFont val="宋体"/>
            <charset val="134"/>
          </rPr>
          <t>NLR=N/L</t>
        </r>
      </text>
    </comment>
    <comment ref="S1" authorId="0">
      <text>
        <r>
          <rPr>
            <sz val="9"/>
            <rFont val="宋体"/>
            <charset val="134"/>
          </rPr>
          <t>1：单纯手术
2：手术+放疗
3：手术+化疗
4：手术+放化疗</t>
        </r>
      </text>
    </comment>
    <comment ref="T1" authorId="0">
      <text>
        <r>
          <rPr>
            <sz val="9"/>
            <rFont val="宋体"/>
            <charset val="134"/>
          </rPr>
          <t>1：舌体（舌缘和舌腹）
2：舌根</t>
        </r>
      </text>
    </comment>
    <comment ref="U1" authorId="0">
      <text>
        <r>
          <rPr>
            <sz val="9"/>
            <rFont val="宋体"/>
            <charset val="134"/>
          </rPr>
          <t>T1:1
T2:2
T3:3
T4:4</t>
        </r>
      </text>
    </comment>
    <comment ref="V1" authorId="0">
      <text>
        <r>
          <rPr>
            <sz val="9"/>
            <rFont val="宋体"/>
            <charset val="134"/>
          </rPr>
          <t>0：N0
1:N1
2:N2</t>
        </r>
      </text>
    </comment>
    <comment ref="W1" authorId="0">
      <text>
        <r>
          <rPr>
            <sz val="9"/>
            <rFont val="宋体"/>
            <charset val="134"/>
          </rPr>
          <t>1：是
0：否</t>
        </r>
      </text>
    </comment>
    <comment ref="X1" authorId="0">
      <text>
        <r>
          <rPr>
            <sz val="9"/>
            <rFont val="宋体"/>
            <charset val="134"/>
          </rPr>
          <t>1：低分化
2：中分化
3：高分化</t>
        </r>
      </text>
    </comment>
    <comment ref="Y1" authorId="0">
      <text>
        <r>
          <rPr>
            <sz val="9"/>
            <rFont val="宋体"/>
            <charset val="134"/>
          </rPr>
          <t>1：I期
2：II期
3:III期
4：IV期</t>
        </r>
      </text>
    </comment>
    <comment ref="Z1" authorId="0">
      <text>
        <r>
          <rPr>
            <sz val="9"/>
            <rFont val="宋体"/>
            <charset val="134"/>
          </rPr>
          <t>0：直径&lt;4
1:直径&gt;4</t>
        </r>
      </text>
    </comment>
    <comment ref="BD1" authorId="0">
      <text>
        <r>
          <rPr>
            <sz val="9"/>
            <rFont val="宋体"/>
            <charset val="134"/>
          </rPr>
          <t>DAYS</t>
        </r>
      </text>
    </comment>
    <comment ref="BE1" authorId="0">
      <text>
        <r>
          <rPr>
            <sz val="9"/>
            <rFont val="宋体"/>
            <charset val="134"/>
          </rPr>
          <t>1：死亡
2：存活</t>
        </r>
      </text>
    </comment>
  </commentList>
</comments>
</file>

<file path=xl/sharedStrings.xml><?xml version="1.0" encoding="utf-8"?>
<sst xmlns="http://schemas.openxmlformats.org/spreadsheetml/2006/main" count="276" uniqueCount="274">
  <si>
    <t>序号</t>
  </si>
  <si>
    <t>病人ID号</t>
  </si>
  <si>
    <t>高/低危组</t>
  </si>
  <si>
    <t>性别</t>
  </si>
  <si>
    <t>年龄</t>
  </si>
  <si>
    <t>高血压</t>
  </si>
  <si>
    <t>糖尿病</t>
  </si>
  <si>
    <t>身高CM</t>
  </si>
  <si>
    <t>体重KG</t>
  </si>
  <si>
    <t>BMI</t>
  </si>
  <si>
    <t>N</t>
  </si>
  <si>
    <t>L</t>
  </si>
  <si>
    <t>M</t>
  </si>
  <si>
    <t>P</t>
  </si>
  <si>
    <t>SIRI</t>
  </si>
  <si>
    <t>LMR</t>
  </si>
  <si>
    <t>PLR</t>
  </si>
  <si>
    <t>NLR</t>
  </si>
  <si>
    <t>手术+辅助治疗</t>
  </si>
  <si>
    <t>位置</t>
  </si>
  <si>
    <t>T(数值)</t>
  </si>
  <si>
    <t>N（数值）</t>
  </si>
  <si>
    <t>淋巴结是否转移</t>
  </si>
  <si>
    <t>分化类型</t>
  </si>
  <si>
    <t>分期</t>
  </si>
  <si>
    <t>肿瘤大小</t>
  </si>
  <si>
    <t>尿比重</t>
  </si>
  <si>
    <t>尿红细胞计数</t>
  </si>
  <si>
    <t>血红蛋白</t>
  </si>
  <si>
    <t>白细胞计数</t>
  </si>
  <si>
    <t>红细胞压积</t>
  </si>
  <si>
    <t>平均红细胞体积</t>
  </si>
  <si>
    <t>平均细胞血红蛋白浓度</t>
  </si>
  <si>
    <t>平均血小板体积</t>
  </si>
  <si>
    <t>活化部分凝血活酶时间</t>
  </si>
  <si>
    <t>血浆纤维蛋白原</t>
  </si>
  <si>
    <t>白蛋白</t>
  </si>
  <si>
    <t>总胆红素</t>
  </si>
  <si>
    <t>直接胆红素</t>
  </si>
  <si>
    <t>同型半胱氨酸</t>
  </si>
  <si>
    <t>Y-谷氨酰胺转移酶</t>
  </si>
  <si>
    <t>随机血糖</t>
  </si>
  <si>
    <t>尿素氮</t>
  </si>
  <si>
    <t>血清肌酐</t>
  </si>
  <si>
    <t>血清尿酸</t>
  </si>
  <si>
    <t>总胆固醇</t>
  </si>
  <si>
    <t>甘油三酯</t>
  </si>
  <si>
    <t>钙</t>
  </si>
  <si>
    <t>磷</t>
  </si>
  <si>
    <t>血清钾</t>
  </si>
  <si>
    <t>血清钠</t>
  </si>
  <si>
    <t>碳酸氢盐</t>
  </si>
  <si>
    <t>高密度脂蛋白</t>
  </si>
  <si>
    <t>低密度脂蛋白</t>
  </si>
  <si>
    <t>糖化血红蛋白</t>
  </si>
  <si>
    <t>生存时间</t>
  </si>
  <si>
    <t>OS生存状态</t>
  </si>
  <si>
    <t>A767856</t>
  </si>
  <si>
    <t>C155179</t>
  </si>
  <si>
    <t>B562058</t>
  </si>
  <si>
    <t>D121463</t>
  </si>
  <si>
    <t>D899413</t>
  </si>
  <si>
    <t>F054724</t>
  </si>
  <si>
    <t>F313916</t>
  </si>
  <si>
    <t>F351076</t>
  </si>
  <si>
    <t>F411281</t>
  </si>
  <si>
    <t>D679122</t>
  </si>
  <si>
    <t>F482790</t>
  </si>
  <si>
    <t>D427721</t>
  </si>
  <si>
    <t>F507143</t>
  </si>
  <si>
    <t>F509376</t>
  </si>
  <si>
    <t>A272045</t>
  </si>
  <si>
    <t>A963799</t>
  </si>
  <si>
    <t>F541919</t>
  </si>
  <si>
    <t>F546420</t>
  </si>
  <si>
    <t>F549790</t>
  </si>
  <si>
    <t>D946162</t>
  </si>
  <si>
    <t>F655646</t>
  </si>
  <si>
    <t>Y0715769</t>
  </si>
  <si>
    <t>F671949</t>
  </si>
  <si>
    <t>Y0727786</t>
  </si>
  <si>
    <t>F667748</t>
  </si>
  <si>
    <t>F533453</t>
  </si>
  <si>
    <t>Y0783739</t>
  </si>
  <si>
    <t>Y0777450</t>
  </si>
  <si>
    <t>Y0785205</t>
  </si>
  <si>
    <t>Y0835699</t>
  </si>
  <si>
    <t>Y0850584</t>
  </si>
  <si>
    <t>F735778</t>
  </si>
  <si>
    <t>Y0847709</t>
  </si>
  <si>
    <t>Y0861470</t>
  </si>
  <si>
    <t>F717633</t>
  </si>
  <si>
    <t>C103826</t>
  </si>
  <si>
    <t>F783040</t>
  </si>
  <si>
    <t>F603414</t>
  </si>
  <si>
    <t>F717255</t>
  </si>
  <si>
    <t>C454104</t>
  </si>
  <si>
    <t>B441163</t>
  </si>
  <si>
    <t>F840935</t>
  </si>
  <si>
    <t>Y0973671</t>
  </si>
  <si>
    <t>Y0977849</t>
  </si>
  <si>
    <t>Y0994356</t>
  </si>
  <si>
    <t>Y1014629</t>
  </si>
  <si>
    <t>Y0989670</t>
  </si>
  <si>
    <t>F632614</t>
  </si>
  <si>
    <t>Y1029510</t>
  </si>
  <si>
    <t>Y1033641</t>
  </si>
  <si>
    <t>Y1056498</t>
  </si>
  <si>
    <t>Y1098840</t>
  </si>
  <si>
    <t>Y0996406</t>
  </si>
  <si>
    <t>Y1100207</t>
  </si>
  <si>
    <t>Y1109712</t>
  </si>
  <si>
    <t>Y1145147</t>
  </si>
  <si>
    <t>Y1135389</t>
  </si>
  <si>
    <t>Y1152794</t>
  </si>
  <si>
    <t>Y1169138</t>
  </si>
  <si>
    <t>Y1199486</t>
  </si>
  <si>
    <t>Y1223866</t>
  </si>
  <si>
    <t>Y1243882</t>
  </si>
  <si>
    <t>Y1221401</t>
  </si>
  <si>
    <t>Y1314258</t>
  </si>
  <si>
    <t>Y1358534</t>
  </si>
  <si>
    <t>Y1421769</t>
  </si>
  <si>
    <t>Y1456420</t>
  </si>
  <si>
    <t>F884782</t>
  </si>
  <si>
    <t>F881879</t>
  </si>
  <si>
    <t>Y1473718</t>
  </si>
  <si>
    <t>Y1503955</t>
  </si>
  <si>
    <t>Y1569222</t>
  </si>
  <si>
    <t>Y1602844</t>
  </si>
  <si>
    <t>Y1623279</t>
  </si>
  <si>
    <t>Y1638769</t>
  </si>
  <si>
    <t>Y1663311</t>
  </si>
  <si>
    <t>Y1672017</t>
  </si>
  <si>
    <t>Y1672440</t>
  </si>
  <si>
    <t>Y1691123</t>
  </si>
  <si>
    <t>Y1677870</t>
  </si>
  <si>
    <t>F913868</t>
  </si>
  <si>
    <t>Y1675731</t>
  </si>
  <si>
    <t>Y1706443</t>
  </si>
  <si>
    <t>Y1740007</t>
  </si>
  <si>
    <t>C219561</t>
  </si>
  <si>
    <t>Y1756565</t>
  </si>
  <si>
    <t>Y1785310</t>
  </si>
  <si>
    <t>Y1782845</t>
  </si>
  <si>
    <t>Y1802483</t>
  </si>
  <si>
    <t>Y1813003</t>
  </si>
  <si>
    <t>Y1813446</t>
  </si>
  <si>
    <t>Y1841899</t>
  </si>
  <si>
    <t>Y1855063</t>
  </si>
  <si>
    <t>Y1884681</t>
  </si>
  <si>
    <t>Y1895396</t>
  </si>
  <si>
    <t>B287548</t>
  </si>
  <si>
    <t>Y1952175</t>
  </si>
  <si>
    <t>B708506</t>
  </si>
  <si>
    <t>Y1968129</t>
  </si>
  <si>
    <t>Y1974196</t>
  </si>
  <si>
    <t>Y2065914</t>
  </si>
  <si>
    <t>Y2078943</t>
  </si>
  <si>
    <t>Y2084761</t>
  </si>
  <si>
    <t>Y2159942</t>
  </si>
  <si>
    <t>Y2171546</t>
  </si>
  <si>
    <t>Y2182753</t>
  </si>
  <si>
    <t>Y2204273</t>
  </si>
  <si>
    <t>F921631</t>
  </si>
  <si>
    <t>Y2257657</t>
  </si>
  <si>
    <t>Y2305496</t>
  </si>
  <si>
    <t>Y2300865</t>
  </si>
  <si>
    <t>F626525</t>
  </si>
  <si>
    <t>Y2297395</t>
  </si>
  <si>
    <t>Y2390095</t>
  </si>
  <si>
    <t>Y2420133</t>
  </si>
  <si>
    <t>Y2427754</t>
  </si>
  <si>
    <t>Y2194868</t>
  </si>
  <si>
    <t>Y2434535</t>
  </si>
  <si>
    <t>Y2564019</t>
  </si>
  <si>
    <t>Y2564272</t>
  </si>
  <si>
    <t>Y2571481</t>
  </si>
  <si>
    <t>Y2602439</t>
  </si>
  <si>
    <t>K0031422</t>
  </si>
  <si>
    <t>Y2616082</t>
  </si>
  <si>
    <t>Y0954861</t>
  </si>
  <si>
    <t>Y2655870</t>
  </si>
  <si>
    <t>Y2681004</t>
  </si>
  <si>
    <t>A0001539</t>
  </si>
  <si>
    <t>Y2731279</t>
  </si>
  <si>
    <t>Y2770565</t>
  </si>
  <si>
    <t>G104697</t>
  </si>
  <si>
    <t>Y2798553</t>
  </si>
  <si>
    <t>K0093420</t>
  </si>
  <si>
    <t>F927333</t>
  </si>
  <si>
    <t>Y2858183</t>
  </si>
  <si>
    <t>Y2907165</t>
  </si>
  <si>
    <t>Y2909278</t>
  </si>
  <si>
    <t>Y2930957</t>
  </si>
  <si>
    <t>Y2934557</t>
  </si>
  <si>
    <t>Y2954964</t>
  </si>
  <si>
    <t>Y2966487</t>
  </si>
  <si>
    <t>Y2964686</t>
  </si>
  <si>
    <t>Y3037384</t>
  </si>
  <si>
    <t>Y3107213</t>
  </si>
  <si>
    <t>Y3145824</t>
  </si>
  <si>
    <t>A485868</t>
  </si>
  <si>
    <t>C429515</t>
  </si>
  <si>
    <t>C593599</t>
  </si>
  <si>
    <t>C966983</t>
  </si>
  <si>
    <t>D116300</t>
  </si>
  <si>
    <t>D236101</t>
  </si>
  <si>
    <t>D309250</t>
  </si>
  <si>
    <t>D339732</t>
  </si>
  <si>
    <t>D376177</t>
  </si>
  <si>
    <t>D379654</t>
  </si>
  <si>
    <t>D471237</t>
  </si>
  <si>
    <t>D530450</t>
  </si>
  <si>
    <t>D537987</t>
  </si>
  <si>
    <t>D541065</t>
  </si>
  <si>
    <t>D578356</t>
  </si>
  <si>
    <t>D596867</t>
  </si>
  <si>
    <t>D600809</t>
  </si>
  <si>
    <t>D614120</t>
  </si>
  <si>
    <t>D665186</t>
  </si>
  <si>
    <t>D711885</t>
  </si>
  <si>
    <t>D774611</t>
  </si>
  <si>
    <t>D795568</t>
  </si>
  <si>
    <t>D797872</t>
  </si>
  <si>
    <t>D824448</t>
  </si>
  <si>
    <t>D916031</t>
  </si>
  <si>
    <t>D969720</t>
  </si>
  <si>
    <t>F092518</t>
  </si>
  <si>
    <t>F140544</t>
  </si>
  <si>
    <t>Y0046855</t>
  </si>
  <si>
    <t>Y0084674</t>
  </si>
  <si>
    <t>Y0213730</t>
  </si>
  <si>
    <t>C380564</t>
  </si>
  <si>
    <t>C419437</t>
  </si>
  <si>
    <t>C894716</t>
  </si>
  <si>
    <t>D124129</t>
  </si>
  <si>
    <t>D739603</t>
  </si>
  <si>
    <t>D819755</t>
  </si>
  <si>
    <t>D825171</t>
  </si>
  <si>
    <t>D828143</t>
  </si>
  <si>
    <t>D939978</t>
  </si>
  <si>
    <t>F004674</t>
  </si>
  <si>
    <t>F028559</t>
  </si>
  <si>
    <t>F053690</t>
  </si>
  <si>
    <t>F112866</t>
  </si>
  <si>
    <t>F123280</t>
  </si>
  <si>
    <t>F136355</t>
  </si>
  <si>
    <t>F139200</t>
  </si>
  <si>
    <t>F140757</t>
  </si>
  <si>
    <t>F178808</t>
  </si>
  <si>
    <t>F200376</t>
  </si>
  <si>
    <t>F221215</t>
  </si>
  <si>
    <t>F225335</t>
  </si>
  <si>
    <t>F227878</t>
  </si>
  <si>
    <t>F258992</t>
  </si>
  <si>
    <t>F271175</t>
  </si>
  <si>
    <t>F272421</t>
  </si>
  <si>
    <t>F279754</t>
  </si>
  <si>
    <t>F320941</t>
  </si>
  <si>
    <t>F351591</t>
  </si>
  <si>
    <t>F354203</t>
  </si>
  <si>
    <t>F365803</t>
  </si>
  <si>
    <t>F381749</t>
  </si>
  <si>
    <t>F393799</t>
  </si>
  <si>
    <t>F414621</t>
  </si>
  <si>
    <t>F422707</t>
  </si>
  <si>
    <t>F430433</t>
  </si>
  <si>
    <t>F432054</t>
  </si>
  <si>
    <t>F462110</t>
  </si>
  <si>
    <t>Y0230922</t>
  </si>
  <si>
    <t>Y0353039</t>
  </si>
  <si>
    <t>Y0411175</t>
  </si>
  <si>
    <t>Y0421269</t>
  </si>
</sst>
</file>

<file path=xl/styles.xml><?xml version="1.0" encoding="utf-8"?>
<styleSheet xmlns="http://schemas.openxmlformats.org/spreadsheetml/2006/main">
  <numFmts count="8">
    <numFmt numFmtId="176" formatCode="0.00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7" formatCode="0.0_ "/>
    <numFmt numFmtId="178" formatCode="0_ "/>
    <numFmt numFmtId="43" formatCode="_ * #,##0.00_ ;_ * \-#,##0.00_ ;_ * &quot;-&quot;??_ ;_ @_ "/>
    <numFmt numFmtId="41" formatCode="_ * #,##0_ ;_ * \-#,##0_ ;_ * &quot;-&quot;_ ;_ @_ "/>
    <numFmt numFmtId="179" formatCode="0.00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Microsoft YaHei"/>
      <charset val="134"/>
    </font>
    <font>
      <b/>
      <sz val="10"/>
      <color theme="1"/>
      <name val="Microsoft YaHei"/>
      <charset val="134"/>
    </font>
    <font>
      <b/>
      <sz val="10"/>
      <name val="Microsoft YaHei"/>
      <charset val="134"/>
    </font>
    <font>
      <sz val="10"/>
      <color theme="1"/>
      <name val="Microsoft YaHe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0" borderId="6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2" fillId="28" borderId="9" applyNumberFormat="0" applyAlignment="0" applyProtection="0">
      <alignment vertical="center"/>
    </xf>
    <xf numFmtId="0" fontId="23" fillId="28" borderId="4" applyNumberFormat="0" applyAlignment="0" applyProtection="0">
      <alignment vertical="center"/>
    </xf>
    <xf numFmtId="0" fontId="9" fillId="8" borderId="3" applyNumberForma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177" fontId="0" fillId="0" borderId="0" xfId="0" applyNumberFormat="1">
      <alignment vertical="center"/>
    </xf>
    <xf numFmtId="178" fontId="0" fillId="0" borderId="0" xfId="0" applyNumberFormat="1" applyFill="1">
      <alignment vertical="center"/>
    </xf>
    <xf numFmtId="176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 wrapText="1"/>
    </xf>
    <xf numFmtId="177" fontId="4" fillId="0" borderId="0" xfId="0" applyNumberFormat="1" applyFont="1" applyFill="1" applyAlignment="1">
      <alignment horizontal="center" vertical="center" wrapText="1"/>
    </xf>
    <xf numFmtId="176" fontId="4" fillId="0" borderId="0" xfId="0" applyNumberFormat="1" applyFont="1" applyFill="1" applyAlignment="1">
      <alignment horizontal="center" vertical="center" wrapText="1"/>
    </xf>
    <xf numFmtId="176" fontId="6" fillId="0" borderId="0" xfId="0" applyNumberFormat="1" applyFont="1" applyFill="1" applyAlignment="1">
      <alignment horizontal="center" vertical="center" wrapText="1"/>
    </xf>
    <xf numFmtId="178" fontId="3" fillId="0" borderId="2" xfId="0" applyNumberFormat="1" applyFont="1" applyFill="1" applyBorder="1" applyAlignment="1">
      <alignment horizontal="center" vertical="center" wrapText="1"/>
    </xf>
    <xf numFmtId="178" fontId="4" fillId="0" borderId="0" xfId="0" applyNumberFormat="1" applyFont="1" applyFill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176" fontId="5" fillId="3" borderId="0" xfId="0" applyNumberFormat="1" applyFont="1" applyFill="1" applyAlignment="1">
      <alignment horizontal="center" vertical="center" wrapText="1"/>
    </xf>
    <xf numFmtId="176" fontId="4" fillId="3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29"/>
  <sheetViews>
    <sheetView tabSelected="1" workbookViewId="0">
      <selection activeCell="BE6" sqref="BE6"/>
    </sheetView>
  </sheetViews>
  <sheetFormatPr defaultColWidth="8.88888888888889" defaultRowHeight="14.4"/>
  <cols>
    <col min="1" max="1" width="7.77777777777778" style="2" customWidth="1"/>
    <col min="2" max="2" width="13.3333333333333" style="2" customWidth="1"/>
    <col min="3" max="3" width="15.6666666666667" style="3" customWidth="1"/>
    <col min="4" max="4" width="5.5" customWidth="1"/>
    <col min="5" max="5" width="6.47222222222222" customWidth="1"/>
    <col min="6" max="6" width="8.50925925925926" customWidth="1"/>
    <col min="7" max="7" width="7.73148148148148" customWidth="1"/>
    <col min="8" max="8" width="6.36111111111111" customWidth="1"/>
    <col min="9" max="9" width="5.59259259259259" customWidth="1"/>
    <col min="10" max="10" width="7.52777777777778" style="4" customWidth="1"/>
    <col min="15" max="15" width="10.9166666666667" customWidth="1"/>
    <col min="16" max="16" width="10.0462962962963" customWidth="1"/>
    <col min="17" max="17" width="9.85185185185185" customWidth="1"/>
    <col min="18" max="18" width="8.00925925925926" customWidth="1"/>
    <col min="19" max="19" width="8.78703703703704" style="5" customWidth="1"/>
    <col min="21" max="21" width="8.5" customWidth="1"/>
    <col min="22" max="22" width="7.13888888888889" customWidth="1"/>
    <col min="23" max="23" width="8.2037037037037" customWidth="1"/>
    <col min="24" max="24" width="6.86111111111111" customWidth="1"/>
    <col min="25" max="25" width="6.75925925925926" customWidth="1"/>
    <col min="26" max="26" width="7.25" style="1" customWidth="1"/>
    <col min="27" max="27" width="12.1111111111111" style="6" customWidth="1"/>
    <col min="28" max="28" width="14.1111111111111" style="1" customWidth="1"/>
    <col min="29" max="30" width="11.2222222222222" style="1" customWidth="1"/>
    <col min="31" max="31" width="12.5555555555556" style="7" customWidth="1"/>
    <col min="32" max="32" width="13.8888888888889" style="8" customWidth="1"/>
    <col min="33" max="33" width="14.6666666666667" style="1" customWidth="1"/>
    <col min="34" max="34" width="12.5555555555556" style="8" customWidth="1"/>
    <col min="35" max="35" width="13.2222222222222" style="8" customWidth="1"/>
    <col min="36" max="36" width="11" style="9" customWidth="1"/>
    <col min="37" max="38" width="8.88888888888889" style="8"/>
    <col min="39" max="39" width="13.1111111111111" style="8" customWidth="1"/>
    <col min="40" max="40" width="13.6666666666667" style="9" customWidth="1"/>
    <col min="41" max="41" width="14.3333333333333" style="8" customWidth="1"/>
    <col min="42" max="42" width="13.1111111111111" style="9" customWidth="1"/>
    <col min="43" max="43" width="8.88888888888889" style="1"/>
    <col min="44" max="44" width="9.44444444444444" style="8"/>
    <col min="45" max="45" width="8.88888888888889" style="8"/>
    <col min="46" max="49" width="8.88888888888889" style="9"/>
    <col min="50" max="50" width="9.44444444444444" style="9"/>
    <col min="51" max="51" width="8.88888888888889" style="8"/>
    <col min="52" max="52" width="13.2222222222222" style="8" customWidth="1"/>
    <col min="53" max="53" width="14.8888888888889" style="9" customWidth="1"/>
    <col min="54" max="54" width="15.7777777777778" style="9" customWidth="1"/>
    <col min="55" max="55" width="14.1111111111111" style="8" customWidth="1"/>
    <col min="56" max="57" width="11.4444444444444" style="10" customWidth="1"/>
    <col min="58" max="16384" width="8.88888888888889" style="1"/>
  </cols>
  <sheetData>
    <row r="1" s="1" customFormat="1" ht="22" customHeight="1" spans="1:57">
      <c r="A1" s="11" t="s">
        <v>0</v>
      </c>
      <c r="B1" s="11" t="s">
        <v>1</v>
      </c>
      <c r="C1" s="12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7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22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24" t="s">
        <v>25</v>
      </c>
      <c r="AA1" s="25" t="s">
        <v>26</v>
      </c>
      <c r="AB1" s="26" t="s">
        <v>27</v>
      </c>
      <c r="AC1" s="26" t="s">
        <v>28</v>
      </c>
      <c r="AD1" s="26" t="s">
        <v>29</v>
      </c>
      <c r="AE1" s="27" t="s">
        <v>30</v>
      </c>
      <c r="AF1" s="28" t="s">
        <v>31</v>
      </c>
      <c r="AG1" s="26" t="s">
        <v>32</v>
      </c>
      <c r="AH1" s="28" t="s">
        <v>33</v>
      </c>
      <c r="AI1" s="28" t="s">
        <v>34</v>
      </c>
      <c r="AJ1" s="29" t="s">
        <v>35</v>
      </c>
      <c r="AK1" s="28" t="s">
        <v>36</v>
      </c>
      <c r="AL1" s="28" t="s">
        <v>37</v>
      </c>
      <c r="AM1" s="28" t="s">
        <v>38</v>
      </c>
      <c r="AN1" s="29" t="s">
        <v>39</v>
      </c>
      <c r="AO1" s="28" t="s">
        <v>40</v>
      </c>
      <c r="AP1" s="29" t="s">
        <v>41</v>
      </c>
      <c r="AQ1" s="26" t="s">
        <v>42</v>
      </c>
      <c r="AR1" s="28" t="s">
        <v>43</v>
      </c>
      <c r="AS1" s="28" t="s">
        <v>44</v>
      </c>
      <c r="AT1" s="29" t="s">
        <v>45</v>
      </c>
      <c r="AU1" s="29" t="s">
        <v>46</v>
      </c>
      <c r="AV1" s="29" t="s">
        <v>47</v>
      </c>
      <c r="AW1" s="29" t="s">
        <v>48</v>
      </c>
      <c r="AX1" s="29" t="s">
        <v>49</v>
      </c>
      <c r="AY1" s="28" t="s">
        <v>50</v>
      </c>
      <c r="AZ1" s="28" t="s">
        <v>51</v>
      </c>
      <c r="BA1" s="29" t="s">
        <v>52</v>
      </c>
      <c r="BB1" s="29" t="s">
        <v>53</v>
      </c>
      <c r="BC1" s="28" t="s">
        <v>54</v>
      </c>
      <c r="BD1" s="30" t="s">
        <v>55</v>
      </c>
      <c r="BE1" s="30" t="s">
        <v>56</v>
      </c>
    </row>
    <row r="2" ht="15.6" spans="1:57">
      <c r="A2" s="14">
        <v>1</v>
      </c>
      <c r="B2" s="14" t="s">
        <v>57</v>
      </c>
      <c r="C2" s="15">
        <v>0</v>
      </c>
      <c r="D2" s="14">
        <v>2</v>
      </c>
      <c r="E2" s="14">
        <v>49</v>
      </c>
      <c r="F2" s="14">
        <v>0</v>
      </c>
      <c r="G2" s="14">
        <v>0</v>
      </c>
      <c r="H2" s="14">
        <v>156</v>
      </c>
      <c r="I2" s="14">
        <v>50</v>
      </c>
      <c r="J2" s="19">
        <f t="shared" ref="J2:J65" si="0">I2/((H2/100)*(H2/100))</f>
        <v>20.5456936226167</v>
      </c>
      <c r="K2" s="14">
        <v>0.519</v>
      </c>
      <c r="L2" s="14">
        <v>0.416</v>
      </c>
      <c r="M2" s="14">
        <v>0.044</v>
      </c>
      <c r="N2" s="14">
        <v>183</v>
      </c>
      <c r="O2" s="20">
        <f t="shared" ref="O2:O56" si="1">K2*M2/L2</f>
        <v>0.0548942307692308</v>
      </c>
      <c r="P2" s="20">
        <f t="shared" ref="P2:P65" si="2">K2/L2</f>
        <v>1.24759615384615</v>
      </c>
      <c r="Q2" s="20">
        <f t="shared" ref="Q2:Q65" si="3">L2/J2</f>
        <v>0.020247552</v>
      </c>
      <c r="R2" s="20">
        <f t="shared" ref="R2:R56" si="4">H2/I2</f>
        <v>3.12</v>
      </c>
      <c r="S2" s="23">
        <v>3</v>
      </c>
      <c r="T2" s="14">
        <v>1</v>
      </c>
      <c r="U2" s="14">
        <v>1</v>
      </c>
      <c r="V2" s="14">
        <v>0</v>
      </c>
      <c r="W2" s="14">
        <v>0</v>
      </c>
      <c r="X2" s="14">
        <v>3</v>
      </c>
      <c r="Y2" s="14">
        <v>1</v>
      </c>
      <c r="Z2" s="1">
        <v>0</v>
      </c>
      <c r="AA2" s="20">
        <v>1.011</v>
      </c>
      <c r="AB2" s="1">
        <v>0.3</v>
      </c>
      <c r="AC2" s="1">
        <v>123</v>
      </c>
      <c r="AD2" s="1">
        <v>4.76</v>
      </c>
      <c r="AE2" s="7">
        <v>0.37</v>
      </c>
      <c r="AF2" s="8">
        <v>92.5</v>
      </c>
      <c r="AG2" s="1">
        <v>332</v>
      </c>
      <c r="AH2" s="8">
        <v>9.5</v>
      </c>
      <c r="AI2" s="8">
        <v>40.8</v>
      </c>
      <c r="AJ2" s="9">
        <v>3.1</v>
      </c>
      <c r="AK2" s="8">
        <v>41.5</v>
      </c>
      <c r="AL2" s="8">
        <v>5.5</v>
      </c>
      <c r="AM2" s="8">
        <v>1.6</v>
      </c>
      <c r="AN2" s="9">
        <v>7.03</v>
      </c>
      <c r="AO2" s="8">
        <v>7</v>
      </c>
      <c r="AP2" s="9">
        <v>5.2</v>
      </c>
      <c r="AQ2" s="1">
        <v>4.34</v>
      </c>
      <c r="AR2" s="8">
        <v>44.4</v>
      </c>
      <c r="AS2" s="8">
        <v>134.3</v>
      </c>
      <c r="AT2" s="9">
        <v>4.57</v>
      </c>
      <c r="AU2" s="9">
        <v>0.8</v>
      </c>
      <c r="AV2" s="9">
        <v>2.18</v>
      </c>
      <c r="AW2" s="9">
        <v>1.32</v>
      </c>
      <c r="AX2" s="9">
        <v>3.98</v>
      </c>
      <c r="AY2" s="8">
        <v>140.5</v>
      </c>
      <c r="AZ2" s="8">
        <v>26</v>
      </c>
      <c r="BA2" s="9">
        <v>1.26</v>
      </c>
      <c r="BB2" s="9">
        <v>2.89</v>
      </c>
      <c r="BC2" s="8">
        <v>165.1</v>
      </c>
      <c r="BD2" s="10">
        <v>4602</v>
      </c>
      <c r="BE2" s="10">
        <v>0</v>
      </c>
    </row>
    <row r="3" ht="15.6" spans="1:57">
      <c r="A3" s="14">
        <v>2</v>
      </c>
      <c r="B3" s="14" t="s">
        <v>58</v>
      </c>
      <c r="C3" s="15">
        <v>0</v>
      </c>
      <c r="D3" s="14">
        <v>1</v>
      </c>
      <c r="E3" s="14">
        <v>56</v>
      </c>
      <c r="F3" s="14">
        <v>0</v>
      </c>
      <c r="G3" s="14">
        <v>1</v>
      </c>
      <c r="H3" s="14">
        <v>178</v>
      </c>
      <c r="I3" s="14">
        <v>82</v>
      </c>
      <c r="J3" s="19">
        <f t="shared" si="0"/>
        <v>25.8805706350208</v>
      </c>
      <c r="K3" s="14">
        <v>0.611</v>
      </c>
      <c r="L3" s="14">
        <v>0.235</v>
      </c>
      <c r="M3" s="14">
        <v>0.096</v>
      </c>
      <c r="N3" s="14">
        <v>110</v>
      </c>
      <c r="O3" s="20">
        <f t="shared" si="1"/>
        <v>0.2496</v>
      </c>
      <c r="P3" s="20">
        <f t="shared" si="2"/>
        <v>2.6</v>
      </c>
      <c r="Q3" s="20">
        <f t="shared" si="3"/>
        <v>0.00908017073170732</v>
      </c>
      <c r="R3" s="20">
        <f t="shared" si="4"/>
        <v>2.17073170731707</v>
      </c>
      <c r="S3" s="23">
        <v>3</v>
      </c>
      <c r="T3" s="14">
        <v>1</v>
      </c>
      <c r="U3" s="14">
        <v>1</v>
      </c>
      <c r="V3" s="14">
        <v>0</v>
      </c>
      <c r="W3" s="14">
        <v>0</v>
      </c>
      <c r="X3" s="14">
        <v>1</v>
      </c>
      <c r="Y3" s="14">
        <v>1</v>
      </c>
      <c r="Z3" s="14">
        <v>0</v>
      </c>
      <c r="AA3" s="20">
        <v>1.007</v>
      </c>
      <c r="AB3" s="1">
        <v>0.4</v>
      </c>
      <c r="AC3" s="1">
        <v>135</v>
      </c>
      <c r="AD3" s="1">
        <v>2.93</v>
      </c>
      <c r="AE3" s="7">
        <v>0.38</v>
      </c>
      <c r="AF3" s="8">
        <v>88.6</v>
      </c>
      <c r="AG3" s="1">
        <v>355</v>
      </c>
      <c r="AH3" s="8">
        <v>10.8</v>
      </c>
      <c r="AI3" s="8">
        <v>38.4</v>
      </c>
      <c r="AJ3" s="9">
        <v>2.1</v>
      </c>
      <c r="AK3" s="8">
        <v>36.3</v>
      </c>
      <c r="AL3" s="8">
        <v>9.6</v>
      </c>
      <c r="AM3" s="8">
        <v>3.6</v>
      </c>
      <c r="AN3" s="9">
        <v>8.9</v>
      </c>
      <c r="AO3" s="8">
        <v>6.1</v>
      </c>
      <c r="AP3" s="9">
        <v>4.82</v>
      </c>
      <c r="AQ3" s="1">
        <v>4.59</v>
      </c>
      <c r="AR3" s="8">
        <v>80.7</v>
      </c>
      <c r="AS3" s="8">
        <v>209.8</v>
      </c>
      <c r="AT3" s="9">
        <v>2.85</v>
      </c>
      <c r="AU3" s="9">
        <v>0.56</v>
      </c>
      <c r="AV3" s="9">
        <v>2.08</v>
      </c>
      <c r="AW3" s="9">
        <v>0.92</v>
      </c>
      <c r="AX3" s="9">
        <v>3.91</v>
      </c>
      <c r="AY3" s="8">
        <v>146.3</v>
      </c>
      <c r="AZ3" s="8">
        <v>28.7</v>
      </c>
      <c r="BA3" s="9">
        <v>0.93</v>
      </c>
      <c r="BB3" s="9">
        <v>1.8</v>
      </c>
      <c r="BC3" s="8">
        <v>160.2</v>
      </c>
      <c r="BD3" s="10">
        <v>4343</v>
      </c>
      <c r="BE3" s="10">
        <v>0</v>
      </c>
    </row>
    <row r="4" ht="15.6" spans="1:57">
      <c r="A4" s="14">
        <v>3</v>
      </c>
      <c r="B4" s="14">
        <v>907981</v>
      </c>
      <c r="C4" s="15">
        <v>1</v>
      </c>
      <c r="D4" s="14">
        <v>1</v>
      </c>
      <c r="E4" s="14">
        <v>79</v>
      </c>
      <c r="F4" s="14">
        <v>0</v>
      </c>
      <c r="G4" s="14">
        <v>0</v>
      </c>
      <c r="H4" s="14">
        <v>170</v>
      </c>
      <c r="I4" s="14">
        <v>78</v>
      </c>
      <c r="J4" s="19">
        <f t="shared" si="0"/>
        <v>26.9896193771626</v>
      </c>
      <c r="K4" s="14">
        <v>0.767</v>
      </c>
      <c r="L4" s="14">
        <v>0.152</v>
      </c>
      <c r="M4" s="14">
        <v>0.077</v>
      </c>
      <c r="N4" s="14">
        <v>207</v>
      </c>
      <c r="O4" s="20">
        <f t="shared" si="1"/>
        <v>0.388546052631579</v>
      </c>
      <c r="P4" s="20">
        <f t="shared" si="2"/>
        <v>5.04605263157895</v>
      </c>
      <c r="Q4" s="20">
        <f t="shared" si="3"/>
        <v>0.00563179487179487</v>
      </c>
      <c r="R4" s="20">
        <f t="shared" si="4"/>
        <v>2.17948717948718</v>
      </c>
      <c r="S4" s="23">
        <v>4</v>
      </c>
      <c r="T4" s="14">
        <v>1</v>
      </c>
      <c r="U4" s="14">
        <v>2</v>
      </c>
      <c r="V4" s="14">
        <v>0</v>
      </c>
      <c r="W4" s="14">
        <v>0</v>
      </c>
      <c r="X4" s="14">
        <v>2</v>
      </c>
      <c r="Y4" s="14">
        <v>2</v>
      </c>
      <c r="Z4" s="1">
        <v>0</v>
      </c>
      <c r="AA4" s="20">
        <v>1.013</v>
      </c>
      <c r="AB4" s="1">
        <v>13.7</v>
      </c>
      <c r="AC4" s="1">
        <v>160</v>
      </c>
      <c r="AD4" s="1">
        <v>4.26</v>
      </c>
      <c r="AE4" s="7">
        <v>0.483</v>
      </c>
      <c r="AF4" s="8">
        <v>103.6</v>
      </c>
      <c r="AG4" s="1">
        <v>331</v>
      </c>
      <c r="AH4" s="8">
        <v>10.8</v>
      </c>
      <c r="AI4" s="8">
        <v>47.1</v>
      </c>
      <c r="AJ4" s="9">
        <v>3.29</v>
      </c>
      <c r="AK4" s="8">
        <v>39.7</v>
      </c>
      <c r="AL4" s="8">
        <v>11</v>
      </c>
      <c r="AM4" s="8">
        <v>2.8</v>
      </c>
      <c r="AN4" s="9">
        <v>21.9</v>
      </c>
      <c r="AO4" s="8">
        <v>42</v>
      </c>
      <c r="AP4" s="9">
        <v>5.14</v>
      </c>
      <c r="AQ4" s="1">
        <v>5.65</v>
      </c>
      <c r="AR4" s="8">
        <v>79.4</v>
      </c>
      <c r="AS4" s="8">
        <v>315.7</v>
      </c>
      <c r="AT4" s="9">
        <v>5.77</v>
      </c>
      <c r="AU4" s="9">
        <v>1.79</v>
      </c>
      <c r="AV4" s="9">
        <v>2.29</v>
      </c>
      <c r="AW4" s="9">
        <v>1.11</v>
      </c>
      <c r="AX4" s="9">
        <v>4.55</v>
      </c>
      <c r="AY4" s="8">
        <v>141.3</v>
      </c>
      <c r="AZ4" s="8">
        <v>28.6</v>
      </c>
      <c r="BA4" s="9">
        <v>1.19</v>
      </c>
      <c r="BB4" s="9">
        <v>3.86</v>
      </c>
      <c r="BC4" s="8">
        <v>171.8</v>
      </c>
      <c r="BD4" s="10">
        <v>1492</v>
      </c>
      <c r="BE4" s="10">
        <v>1</v>
      </c>
    </row>
    <row r="5" ht="15.6" spans="1:57">
      <c r="A5" s="14">
        <v>4</v>
      </c>
      <c r="B5" s="14" t="s">
        <v>59</v>
      </c>
      <c r="C5" s="15">
        <v>0</v>
      </c>
      <c r="D5" s="14">
        <v>2</v>
      </c>
      <c r="E5" s="14">
        <v>63</v>
      </c>
      <c r="F5" s="14">
        <v>1</v>
      </c>
      <c r="G5" s="14">
        <v>0</v>
      </c>
      <c r="H5" s="14">
        <v>167</v>
      </c>
      <c r="I5" s="14">
        <v>87</v>
      </c>
      <c r="J5" s="19">
        <f t="shared" si="0"/>
        <v>31.1950948402596</v>
      </c>
      <c r="K5" s="14">
        <v>0.494</v>
      </c>
      <c r="L5" s="14">
        <v>0.384</v>
      </c>
      <c r="M5" s="14">
        <v>0.083</v>
      </c>
      <c r="N5" s="14">
        <v>221</v>
      </c>
      <c r="O5" s="20">
        <f t="shared" si="1"/>
        <v>0.106776041666667</v>
      </c>
      <c r="P5" s="20">
        <f t="shared" si="2"/>
        <v>1.28645833333333</v>
      </c>
      <c r="Q5" s="20">
        <f t="shared" si="3"/>
        <v>0.0123096275862069</v>
      </c>
      <c r="R5" s="20">
        <f t="shared" si="4"/>
        <v>1.91954022988506</v>
      </c>
      <c r="S5" s="23">
        <v>2</v>
      </c>
      <c r="T5" s="14">
        <v>1</v>
      </c>
      <c r="U5" s="14">
        <v>2</v>
      </c>
      <c r="V5" s="14">
        <v>0</v>
      </c>
      <c r="W5" s="14">
        <v>0</v>
      </c>
      <c r="X5" s="14">
        <v>3</v>
      </c>
      <c r="Y5" s="14">
        <v>2</v>
      </c>
      <c r="Z5" s="14">
        <v>0</v>
      </c>
      <c r="AA5" s="20">
        <v>1.017</v>
      </c>
      <c r="AB5" s="1">
        <v>7.5</v>
      </c>
      <c r="AC5" s="1">
        <v>126</v>
      </c>
      <c r="AD5" s="1">
        <v>3.62</v>
      </c>
      <c r="AE5" s="7">
        <v>0.397</v>
      </c>
      <c r="AF5" s="8">
        <v>88.2</v>
      </c>
      <c r="AG5" s="1">
        <v>322</v>
      </c>
      <c r="AH5" s="8">
        <v>10.1</v>
      </c>
      <c r="AI5" s="8">
        <v>40.7</v>
      </c>
      <c r="AJ5" s="9">
        <v>3.22</v>
      </c>
      <c r="AK5" s="8">
        <v>41.6</v>
      </c>
      <c r="AL5" s="8">
        <v>6.8</v>
      </c>
      <c r="AM5" s="8">
        <v>1.9</v>
      </c>
      <c r="AN5" s="9">
        <v>10.78</v>
      </c>
      <c r="AO5" s="8">
        <v>34.4</v>
      </c>
      <c r="AP5" s="9">
        <v>6.1</v>
      </c>
      <c r="AQ5" s="1">
        <v>6.62</v>
      </c>
      <c r="AR5" s="8">
        <v>63.9</v>
      </c>
      <c r="AS5" s="8">
        <v>287.1</v>
      </c>
      <c r="AT5" s="9">
        <v>4.98</v>
      </c>
      <c r="AU5" s="9">
        <v>1.28</v>
      </c>
      <c r="AV5" s="9">
        <v>2.21</v>
      </c>
      <c r="AW5" s="9">
        <v>0.99</v>
      </c>
      <c r="AX5" s="9">
        <v>4.47</v>
      </c>
      <c r="AY5" s="8">
        <v>143.6</v>
      </c>
      <c r="AZ5" s="8">
        <v>28.2</v>
      </c>
      <c r="BA5" s="9">
        <v>1.66</v>
      </c>
      <c r="BB5" s="9">
        <v>2.64</v>
      </c>
      <c r="BC5" s="8">
        <v>137.6</v>
      </c>
      <c r="BD5" s="10">
        <v>3804</v>
      </c>
      <c r="BE5" s="10">
        <v>0</v>
      </c>
    </row>
    <row r="6" ht="15.6" spans="1:57">
      <c r="A6" s="14">
        <v>5</v>
      </c>
      <c r="B6" s="14" t="s">
        <v>60</v>
      </c>
      <c r="C6" s="15">
        <v>1</v>
      </c>
      <c r="D6" s="14">
        <v>1</v>
      </c>
      <c r="E6" s="14">
        <v>26</v>
      </c>
      <c r="F6" s="14">
        <v>0</v>
      </c>
      <c r="G6" s="14">
        <v>0</v>
      </c>
      <c r="H6" s="14">
        <v>185</v>
      </c>
      <c r="I6" s="14">
        <v>92</v>
      </c>
      <c r="J6" s="19">
        <f t="shared" si="0"/>
        <v>26.8809349890431</v>
      </c>
      <c r="K6" s="14">
        <v>0.646</v>
      </c>
      <c r="L6" s="14">
        <v>0.247</v>
      </c>
      <c r="M6" s="20">
        <v>0.09</v>
      </c>
      <c r="N6" s="14">
        <v>205</v>
      </c>
      <c r="O6" s="20">
        <f t="shared" si="1"/>
        <v>0.235384615384615</v>
      </c>
      <c r="P6" s="20">
        <f t="shared" si="2"/>
        <v>2.61538461538462</v>
      </c>
      <c r="Q6" s="20">
        <f t="shared" si="3"/>
        <v>0.00918866847826087</v>
      </c>
      <c r="R6" s="20">
        <f t="shared" si="4"/>
        <v>2.01086956521739</v>
      </c>
      <c r="S6" s="23">
        <v>4</v>
      </c>
      <c r="T6" s="14">
        <v>2</v>
      </c>
      <c r="U6" s="14">
        <v>2</v>
      </c>
      <c r="V6" s="14">
        <v>2</v>
      </c>
      <c r="W6" s="14">
        <v>1</v>
      </c>
      <c r="X6" s="14">
        <v>3</v>
      </c>
      <c r="Y6" s="14">
        <v>4</v>
      </c>
      <c r="Z6" s="1">
        <v>0</v>
      </c>
      <c r="AA6" s="20">
        <v>1.026</v>
      </c>
      <c r="AB6" s="1">
        <v>0.7</v>
      </c>
      <c r="AC6" s="1">
        <v>152</v>
      </c>
      <c r="AD6" s="1">
        <v>8.22</v>
      </c>
      <c r="AE6" s="7">
        <v>0.447</v>
      </c>
      <c r="AF6" s="8">
        <v>97</v>
      </c>
      <c r="AG6" s="1">
        <v>340</v>
      </c>
      <c r="AH6" s="8">
        <v>11.4</v>
      </c>
      <c r="AI6" s="8">
        <v>34.4</v>
      </c>
      <c r="AJ6" s="9">
        <v>2.79</v>
      </c>
      <c r="AK6" s="8">
        <v>43.6</v>
      </c>
      <c r="AL6" s="8">
        <v>7.1</v>
      </c>
      <c r="AM6" s="8">
        <v>2.9</v>
      </c>
      <c r="AN6" s="9">
        <v>21.63</v>
      </c>
      <c r="AO6" s="8">
        <v>13.4</v>
      </c>
      <c r="AP6" s="9">
        <v>4.73</v>
      </c>
      <c r="AQ6" s="1">
        <v>3.89</v>
      </c>
      <c r="AR6" s="8">
        <v>67.9</v>
      </c>
      <c r="AS6" s="8">
        <v>356.3</v>
      </c>
      <c r="AT6" s="9">
        <v>3.24</v>
      </c>
      <c r="AU6" s="9">
        <v>0.99</v>
      </c>
      <c r="AV6" s="9">
        <v>2.23</v>
      </c>
      <c r="AW6" s="9">
        <v>1.58</v>
      </c>
      <c r="AX6" s="9">
        <v>3.93</v>
      </c>
      <c r="AY6" s="8">
        <v>142.2</v>
      </c>
      <c r="AZ6" s="8">
        <v>27.8</v>
      </c>
      <c r="BA6" s="9">
        <v>0.8</v>
      </c>
      <c r="BB6" s="9">
        <v>1.88</v>
      </c>
      <c r="BC6" s="8">
        <v>139.5</v>
      </c>
      <c r="BD6" s="10">
        <v>3210</v>
      </c>
      <c r="BE6" s="10">
        <v>1</v>
      </c>
    </row>
    <row r="7" ht="15.6" spans="1:57">
      <c r="A7" s="14">
        <v>6</v>
      </c>
      <c r="B7" s="14" t="s">
        <v>61</v>
      </c>
      <c r="C7" s="15">
        <v>1</v>
      </c>
      <c r="D7" s="14">
        <v>2</v>
      </c>
      <c r="E7" s="14">
        <v>64</v>
      </c>
      <c r="F7" s="14">
        <v>0</v>
      </c>
      <c r="G7" s="14">
        <v>0</v>
      </c>
      <c r="H7" s="14">
        <v>155</v>
      </c>
      <c r="I7" s="14">
        <v>47</v>
      </c>
      <c r="J7" s="19">
        <f t="shared" si="0"/>
        <v>19.5629552549428</v>
      </c>
      <c r="K7" s="14">
        <v>0.745</v>
      </c>
      <c r="L7" s="14">
        <v>0.184</v>
      </c>
      <c r="M7" s="14">
        <v>0.043</v>
      </c>
      <c r="N7" s="14">
        <v>417</v>
      </c>
      <c r="O7" s="20">
        <f t="shared" si="1"/>
        <v>0.174103260869565</v>
      </c>
      <c r="P7" s="20">
        <f t="shared" si="2"/>
        <v>4.04891304347826</v>
      </c>
      <c r="Q7" s="20">
        <f t="shared" si="3"/>
        <v>0.00940553191489362</v>
      </c>
      <c r="R7" s="20">
        <f t="shared" si="4"/>
        <v>3.29787234042553</v>
      </c>
      <c r="S7" s="23">
        <v>1</v>
      </c>
      <c r="T7" s="14">
        <v>1</v>
      </c>
      <c r="U7" s="14">
        <v>1</v>
      </c>
      <c r="V7" s="14">
        <v>0</v>
      </c>
      <c r="W7" s="14">
        <v>0</v>
      </c>
      <c r="X7" s="14">
        <v>3</v>
      </c>
      <c r="Y7" s="14">
        <v>1</v>
      </c>
      <c r="Z7" s="1">
        <v>0</v>
      </c>
      <c r="AA7" s="20">
        <v>1.013</v>
      </c>
      <c r="AB7" s="1">
        <v>3.3</v>
      </c>
      <c r="AC7" s="1">
        <v>128</v>
      </c>
      <c r="AD7" s="1">
        <v>5.39</v>
      </c>
      <c r="AE7" s="7">
        <v>0.384</v>
      </c>
      <c r="AF7" s="8">
        <v>98.7</v>
      </c>
      <c r="AG7" s="1">
        <v>333</v>
      </c>
      <c r="AH7" s="8">
        <v>10.2</v>
      </c>
      <c r="AI7" s="8">
        <v>39</v>
      </c>
      <c r="AJ7" s="9">
        <v>2.02</v>
      </c>
      <c r="AK7" s="8">
        <v>41.5</v>
      </c>
      <c r="AL7" s="8">
        <v>17.8</v>
      </c>
      <c r="AM7" s="8">
        <v>5.2</v>
      </c>
      <c r="AN7" s="9">
        <v>11.7</v>
      </c>
      <c r="AO7" s="8">
        <v>10.3</v>
      </c>
      <c r="AP7" s="9">
        <v>3.83</v>
      </c>
      <c r="AQ7" s="9">
        <v>3.6</v>
      </c>
      <c r="AR7" s="8">
        <v>56.4</v>
      </c>
      <c r="AS7" s="8">
        <v>261.3</v>
      </c>
      <c r="AT7" s="9">
        <v>3.63</v>
      </c>
      <c r="AU7" s="9">
        <v>0.93</v>
      </c>
      <c r="AV7" s="9">
        <v>2.29</v>
      </c>
      <c r="AW7" s="9">
        <v>1.31</v>
      </c>
      <c r="AX7" s="9">
        <v>3.89</v>
      </c>
      <c r="AY7" s="8">
        <v>140.8</v>
      </c>
      <c r="AZ7" s="8">
        <v>30.3</v>
      </c>
      <c r="BA7" s="9">
        <v>1.35</v>
      </c>
      <c r="BB7" s="9">
        <v>2.07</v>
      </c>
      <c r="BC7" s="8">
        <v>150</v>
      </c>
      <c r="BD7" s="10">
        <v>1824</v>
      </c>
      <c r="BE7" s="10">
        <v>1</v>
      </c>
    </row>
    <row r="8" ht="15.6" spans="1:57">
      <c r="A8" s="14">
        <v>7</v>
      </c>
      <c r="B8" s="14" t="s">
        <v>62</v>
      </c>
      <c r="C8" s="15">
        <v>1</v>
      </c>
      <c r="D8" s="14">
        <v>1</v>
      </c>
      <c r="E8" s="14">
        <v>50</v>
      </c>
      <c r="F8" s="14">
        <v>1</v>
      </c>
      <c r="G8" s="14">
        <v>0</v>
      </c>
      <c r="H8" s="14">
        <v>168</v>
      </c>
      <c r="I8" s="14">
        <v>56</v>
      </c>
      <c r="J8" s="19">
        <f t="shared" si="0"/>
        <v>19.8412698412698</v>
      </c>
      <c r="K8" s="14">
        <v>0.694</v>
      </c>
      <c r="L8" s="14">
        <v>0.217</v>
      </c>
      <c r="M8" s="14">
        <v>0.087</v>
      </c>
      <c r="N8" s="14">
        <v>329</v>
      </c>
      <c r="O8" s="20">
        <f t="shared" si="1"/>
        <v>0.278239631336406</v>
      </c>
      <c r="P8" s="20">
        <f t="shared" si="2"/>
        <v>3.19815668202765</v>
      </c>
      <c r="Q8" s="20">
        <f t="shared" si="3"/>
        <v>0.0109368</v>
      </c>
      <c r="R8" s="20">
        <f t="shared" si="4"/>
        <v>3</v>
      </c>
      <c r="S8" s="23">
        <v>3</v>
      </c>
      <c r="T8" s="14">
        <v>2</v>
      </c>
      <c r="U8" s="14">
        <v>3</v>
      </c>
      <c r="V8" s="14">
        <v>2</v>
      </c>
      <c r="W8" s="14">
        <v>1</v>
      </c>
      <c r="X8" s="14">
        <v>1</v>
      </c>
      <c r="Y8" s="14">
        <v>4</v>
      </c>
      <c r="Z8" s="14">
        <v>1</v>
      </c>
      <c r="AA8" s="20">
        <v>1.018</v>
      </c>
      <c r="AB8" s="1">
        <v>9.3</v>
      </c>
      <c r="AC8" s="1">
        <v>132</v>
      </c>
      <c r="AD8" s="1">
        <v>8.96</v>
      </c>
      <c r="AE8" s="7">
        <v>0.378</v>
      </c>
      <c r="AF8" s="8">
        <v>91.7</v>
      </c>
      <c r="AG8" s="1">
        <v>349</v>
      </c>
      <c r="AH8" s="8">
        <v>9.3</v>
      </c>
      <c r="AI8" s="8">
        <v>41</v>
      </c>
      <c r="AJ8" s="9">
        <v>5.96</v>
      </c>
      <c r="AK8" s="8">
        <v>39.8</v>
      </c>
      <c r="AL8" s="8">
        <v>18.5</v>
      </c>
      <c r="AM8" s="8">
        <v>4.9</v>
      </c>
      <c r="AN8" s="9">
        <v>6.6</v>
      </c>
      <c r="AO8" s="8">
        <v>19.2</v>
      </c>
      <c r="AP8" s="9">
        <v>4.38</v>
      </c>
      <c r="AQ8" s="1">
        <v>4.83</v>
      </c>
      <c r="AR8" s="8">
        <v>73.2</v>
      </c>
      <c r="AS8" s="8">
        <v>423.5</v>
      </c>
      <c r="AT8" s="9">
        <v>5.18</v>
      </c>
      <c r="AU8" s="9">
        <v>0.77</v>
      </c>
      <c r="AV8" s="9">
        <v>2.44</v>
      </c>
      <c r="AW8" s="9">
        <v>1.17</v>
      </c>
      <c r="AX8" s="9">
        <v>4.4</v>
      </c>
      <c r="AY8" s="8">
        <v>136.5</v>
      </c>
      <c r="AZ8" s="8">
        <v>25.4</v>
      </c>
      <c r="BA8" s="9">
        <v>1.2</v>
      </c>
      <c r="BB8" s="9">
        <v>3.37</v>
      </c>
      <c r="BC8" s="8">
        <v>126.6</v>
      </c>
      <c r="BD8" s="10">
        <v>1629</v>
      </c>
      <c r="BE8" s="10">
        <v>1</v>
      </c>
    </row>
    <row r="9" ht="15.6" spans="1:57">
      <c r="A9" s="14">
        <v>8</v>
      </c>
      <c r="B9" s="14" t="s">
        <v>63</v>
      </c>
      <c r="C9" s="15">
        <v>1</v>
      </c>
      <c r="D9" s="14">
        <v>1</v>
      </c>
      <c r="E9" s="14">
        <v>52</v>
      </c>
      <c r="F9" s="14">
        <v>1</v>
      </c>
      <c r="G9" s="14">
        <v>0</v>
      </c>
      <c r="H9" s="14">
        <v>170</v>
      </c>
      <c r="I9" s="14">
        <v>69</v>
      </c>
      <c r="J9" s="19">
        <f t="shared" si="0"/>
        <v>23.8754325259516</v>
      </c>
      <c r="K9" s="14">
        <v>0.634</v>
      </c>
      <c r="L9" s="14">
        <v>0.29</v>
      </c>
      <c r="M9" s="14">
        <v>0.048</v>
      </c>
      <c r="N9" s="14">
        <v>216</v>
      </c>
      <c r="O9" s="20">
        <f t="shared" si="1"/>
        <v>0.104937931034483</v>
      </c>
      <c r="P9" s="20">
        <f t="shared" si="2"/>
        <v>2.18620689655172</v>
      </c>
      <c r="Q9" s="20">
        <f t="shared" si="3"/>
        <v>0.0121463768115942</v>
      </c>
      <c r="R9" s="20">
        <f t="shared" si="4"/>
        <v>2.46376811594203</v>
      </c>
      <c r="S9" s="23">
        <v>4</v>
      </c>
      <c r="T9" s="14">
        <v>1</v>
      </c>
      <c r="U9" s="14">
        <v>2</v>
      </c>
      <c r="V9" s="14">
        <v>1</v>
      </c>
      <c r="W9" s="14">
        <v>1</v>
      </c>
      <c r="X9" s="14">
        <v>3</v>
      </c>
      <c r="Y9" s="14">
        <v>4</v>
      </c>
      <c r="Z9" s="14">
        <v>0</v>
      </c>
      <c r="AA9" s="20">
        <v>1.02</v>
      </c>
      <c r="AB9" s="1">
        <v>2.9</v>
      </c>
      <c r="AC9" s="1">
        <v>138</v>
      </c>
      <c r="AD9" s="1">
        <v>6.06</v>
      </c>
      <c r="AE9" s="7">
        <v>0.411</v>
      </c>
      <c r="AF9" s="8">
        <v>87.8</v>
      </c>
      <c r="AG9" s="1">
        <v>336</v>
      </c>
      <c r="AH9" s="8">
        <v>11.2</v>
      </c>
      <c r="AI9" s="8">
        <v>39</v>
      </c>
      <c r="AJ9" s="9">
        <v>3.08</v>
      </c>
      <c r="AK9" s="8">
        <v>41.6</v>
      </c>
      <c r="AL9" s="8">
        <v>6.7</v>
      </c>
      <c r="AM9" s="8">
        <v>2.1</v>
      </c>
      <c r="AN9" s="9">
        <v>11.9</v>
      </c>
      <c r="AO9" s="8">
        <v>19.7</v>
      </c>
      <c r="AP9" s="9">
        <v>4.6</v>
      </c>
      <c r="AQ9" s="1">
        <v>5.74</v>
      </c>
      <c r="AR9" s="8">
        <v>86.6</v>
      </c>
      <c r="AS9" s="8">
        <v>400.7</v>
      </c>
      <c r="AT9" s="9">
        <v>4.75</v>
      </c>
      <c r="AU9" s="9">
        <v>1.24</v>
      </c>
      <c r="AV9" s="9">
        <v>2.17</v>
      </c>
      <c r="AW9" s="9">
        <v>1.12</v>
      </c>
      <c r="AX9" s="9">
        <v>4.12</v>
      </c>
      <c r="AY9" s="8">
        <v>142.6</v>
      </c>
      <c r="AZ9" s="8">
        <v>27.7</v>
      </c>
      <c r="BA9" s="9">
        <v>1.08</v>
      </c>
      <c r="BB9" s="9">
        <v>2.96</v>
      </c>
      <c r="BC9" s="8">
        <v>184.5</v>
      </c>
      <c r="BD9" s="10">
        <v>820</v>
      </c>
      <c r="BE9" s="10">
        <v>1</v>
      </c>
    </row>
    <row r="10" ht="15.6" spans="1:57">
      <c r="A10" s="14">
        <v>9</v>
      </c>
      <c r="B10" s="14" t="s">
        <v>64</v>
      </c>
      <c r="C10" s="15">
        <v>1</v>
      </c>
      <c r="D10" s="14">
        <v>2</v>
      </c>
      <c r="E10" s="14">
        <v>65</v>
      </c>
      <c r="F10" s="14">
        <v>0</v>
      </c>
      <c r="G10" s="14">
        <v>0</v>
      </c>
      <c r="H10" s="14">
        <v>170</v>
      </c>
      <c r="I10" s="14">
        <v>68</v>
      </c>
      <c r="J10" s="19">
        <f t="shared" si="0"/>
        <v>23.5294117647059</v>
      </c>
      <c r="K10" s="14">
        <v>0.652</v>
      </c>
      <c r="L10" s="14">
        <v>0.136</v>
      </c>
      <c r="M10" s="14">
        <v>0.109</v>
      </c>
      <c r="N10" s="14">
        <v>160</v>
      </c>
      <c r="O10" s="20">
        <f t="shared" si="1"/>
        <v>0.522558823529412</v>
      </c>
      <c r="P10" s="20">
        <f t="shared" si="2"/>
        <v>4.79411764705882</v>
      </c>
      <c r="Q10" s="20">
        <f t="shared" si="3"/>
        <v>0.00578</v>
      </c>
      <c r="R10" s="20">
        <f t="shared" si="4"/>
        <v>2.5</v>
      </c>
      <c r="S10" s="23">
        <v>2</v>
      </c>
      <c r="T10" s="14">
        <v>2</v>
      </c>
      <c r="U10" s="14">
        <v>2</v>
      </c>
      <c r="V10" s="14">
        <v>2</v>
      </c>
      <c r="W10" s="14">
        <v>1</v>
      </c>
      <c r="X10" s="14">
        <v>2</v>
      </c>
      <c r="Y10" s="14">
        <v>4</v>
      </c>
      <c r="Z10" s="1">
        <v>0</v>
      </c>
      <c r="AA10" s="20">
        <v>1.005</v>
      </c>
      <c r="AB10" s="1">
        <v>1.3</v>
      </c>
      <c r="AC10" s="1">
        <v>116</v>
      </c>
      <c r="AD10" s="1">
        <v>3.67</v>
      </c>
      <c r="AE10" s="7">
        <v>0.33</v>
      </c>
      <c r="AF10" s="8">
        <v>91.9</v>
      </c>
      <c r="AG10" s="1">
        <v>352</v>
      </c>
      <c r="AH10" s="8">
        <v>9.2</v>
      </c>
      <c r="AI10" s="8">
        <v>37.6</v>
      </c>
      <c r="AJ10" s="9">
        <v>3.31</v>
      </c>
      <c r="AK10" s="8">
        <v>37.6</v>
      </c>
      <c r="AL10" s="8">
        <v>8.9</v>
      </c>
      <c r="AM10" s="8">
        <v>2.8</v>
      </c>
      <c r="AN10" s="9">
        <v>13.7</v>
      </c>
      <c r="AO10" s="8">
        <v>14.9</v>
      </c>
      <c r="AP10" s="9">
        <v>4.78</v>
      </c>
      <c r="AQ10" s="1">
        <v>3.43</v>
      </c>
      <c r="AR10" s="8">
        <v>64.9</v>
      </c>
      <c r="AS10" s="8">
        <v>258.4</v>
      </c>
      <c r="AT10" s="9">
        <v>4.76</v>
      </c>
      <c r="AU10" s="9">
        <v>0.82</v>
      </c>
      <c r="AV10" s="9">
        <v>2.23</v>
      </c>
      <c r="AW10" s="9">
        <v>1.25</v>
      </c>
      <c r="AX10" s="9">
        <v>3.97</v>
      </c>
      <c r="AY10" s="8">
        <v>143</v>
      </c>
      <c r="AZ10" s="8">
        <v>27.3</v>
      </c>
      <c r="BA10" s="9">
        <v>0.95</v>
      </c>
      <c r="BB10" s="9">
        <v>3.24</v>
      </c>
      <c r="BC10" s="8">
        <v>149.6</v>
      </c>
      <c r="BD10" s="10">
        <v>1634</v>
      </c>
      <c r="BE10" s="10">
        <v>1</v>
      </c>
    </row>
    <row r="11" ht="15.6" spans="1:57">
      <c r="A11" s="14">
        <v>10</v>
      </c>
      <c r="B11" s="14" t="s">
        <v>65</v>
      </c>
      <c r="C11" s="15">
        <v>1</v>
      </c>
      <c r="D11" s="14">
        <v>1</v>
      </c>
      <c r="E11" s="14">
        <v>56</v>
      </c>
      <c r="F11" s="14">
        <v>0</v>
      </c>
      <c r="G11" s="14">
        <v>0</v>
      </c>
      <c r="H11" s="14">
        <v>170</v>
      </c>
      <c r="I11" s="14">
        <v>65</v>
      </c>
      <c r="J11" s="19">
        <f t="shared" si="0"/>
        <v>22.4913494809689</v>
      </c>
      <c r="K11" s="14">
        <v>0.634</v>
      </c>
      <c r="L11" s="14">
        <v>0.276</v>
      </c>
      <c r="M11" s="14">
        <v>0.068</v>
      </c>
      <c r="N11" s="14">
        <v>158</v>
      </c>
      <c r="O11" s="20">
        <f t="shared" si="1"/>
        <v>0.156202898550725</v>
      </c>
      <c r="P11" s="20">
        <f t="shared" si="2"/>
        <v>2.29710144927536</v>
      </c>
      <c r="Q11" s="20">
        <f t="shared" si="3"/>
        <v>0.0122713846153846</v>
      </c>
      <c r="R11" s="20">
        <f t="shared" si="4"/>
        <v>2.61538461538462</v>
      </c>
      <c r="S11" s="23">
        <v>1</v>
      </c>
      <c r="T11" s="14">
        <v>1</v>
      </c>
      <c r="U11" s="14">
        <v>2</v>
      </c>
      <c r="V11" s="14">
        <v>0</v>
      </c>
      <c r="W11" s="14">
        <v>0</v>
      </c>
      <c r="X11" s="14">
        <v>3</v>
      </c>
      <c r="Y11" s="14">
        <v>2</v>
      </c>
      <c r="Z11" s="14">
        <v>0</v>
      </c>
      <c r="AA11" s="20">
        <v>1.03</v>
      </c>
      <c r="AB11" s="1">
        <v>35.8</v>
      </c>
      <c r="AC11" s="1">
        <v>167</v>
      </c>
      <c r="AD11" s="1">
        <v>6.95</v>
      </c>
      <c r="AE11" s="7">
        <v>0.46</v>
      </c>
      <c r="AF11" s="8">
        <v>93.6</v>
      </c>
      <c r="AG11" s="1">
        <v>367</v>
      </c>
      <c r="AH11" s="8">
        <v>10.4</v>
      </c>
      <c r="AI11" s="8">
        <v>34.7</v>
      </c>
      <c r="AJ11" s="9">
        <v>3.56</v>
      </c>
      <c r="AK11" s="8">
        <v>40.4</v>
      </c>
      <c r="AL11" s="8">
        <v>25.9</v>
      </c>
      <c r="AM11" s="8">
        <v>11</v>
      </c>
      <c r="AN11" s="9">
        <v>29.2</v>
      </c>
      <c r="AO11" s="8">
        <v>106.9</v>
      </c>
      <c r="AP11" s="9">
        <v>6.23</v>
      </c>
      <c r="AQ11" s="1">
        <v>4.78</v>
      </c>
      <c r="AR11" s="8">
        <v>62.1</v>
      </c>
      <c r="AS11" s="8">
        <v>324.8</v>
      </c>
      <c r="AT11" s="9">
        <v>4.11</v>
      </c>
      <c r="AU11" s="9">
        <v>1.55</v>
      </c>
      <c r="AV11" s="9">
        <v>2.14</v>
      </c>
      <c r="AW11" s="9">
        <v>1.1</v>
      </c>
      <c r="AX11" s="9">
        <v>3.57</v>
      </c>
      <c r="AY11" s="8">
        <v>136.6</v>
      </c>
      <c r="AZ11" s="8">
        <v>23.2</v>
      </c>
      <c r="BA11" s="9">
        <v>1.04</v>
      </c>
      <c r="BB11" s="9">
        <v>2.66</v>
      </c>
      <c r="BC11" s="8">
        <v>211.1</v>
      </c>
      <c r="BD11" s="10">
        <v>943</v>
      </c>
      <c r="BE11" s="10">
        <v>1</v>
      </c>
    </row>
    <row r="12" ht="15.6" spans="1:57">
      <c r="A12" s="14">
        <v>11</v>
      </c>
      <c r="B12" s="14" t="s">
        <v>66</v>
      </c>
      <c r="C12" s="15">
        <v>0</v>
      </c>
      <c r="D12" s="14">
        <v>1</v>
      </c>
      <c r="E12" s="14">
        <v>50</v>
      </c>
      <c r="F12" s="14">
        <v>0</v>
      </c>
      <c r="G12" s="14">
        <v>0</v>
      </c>
      <c r="H12" s="14">
        <v>174</v>
      </c>
      <c r="I12" s="14">
        <v>62</v>
      </c>
      <c r="J12" s="19">
        <f t="shared" si="0"/>
        <v>20.4782666138195</v>
      </c>
      <c r="K12" s="14">
        <v>0.81</v>
      </c>
      <c r="L12" s="14">
        <v>0.134</v>
      </c>
      <c r="M12" s="14">
        <v>0.048</v>
      </c>
      <c r="N12" s="14">
        <v>57</v>
      </c>
      <c r="O12" s="20">
        <f t="shared" si="1"/>
        <v>0.290149253731343</v>
      </c>
      <c r="P12" s="20">
        <f t="shared" si="2"/>
        <v>6.04477611940298</v>
      </c>
      <c r="Q12" s="20">
        <f t="shared" si="3"/>
        <v>0.00654352258064516</v>
      </c>
      <c r="R12" s="20">
        <f t="shared" si="4"/>
        <v>2.80645161290323</v>
      </c>
      <c r="S12" s="23">
        <v>1</v>
      </c>
      <c r="T12" s="14">
        <v>1</v>
      </c>
      <c r="U12" s="14">
        <v>2</v>
      </c>
      <c r="V12" s="14">
        <v>0</v>
      </c>
      <c r="W12" s="14">
        <v>0</v>
      </c>
      <c r="X12" s="14">
        <v>2</v>
      </c>
      <c r="Y12" s="14">
        <v>2</v>
      </c>
      <c r="Z12" s="1">
        <v>0</v>
      </c>
      <c r="AA12" s="20">
        <v>1.014</v>
      </c>
      <c r="AB12" s="1">
        <v>2.4</v>
      </c>
      <c r="AC12" s="1">
        <v>81</v>
      </c>
      <c r="AD12" s="1">
        <v>3.73</v>
      </c>
      <c r="AE12" s="7">
        <v>0.231</v>
      </c>
      <c r="AF12" s="8">
        <v>110</v>
      </c>
      <c r="AG12" s="1">
        <v>351</v>
      </c>
      <c r="AH12" s="8">
        <v>11.8</v>
      </c>
      <c r="AI12" s="8">
        <v>40</v>
      </c>
      <c r="AJ12" s="9">
        <v>3.04</v>
      </c>
      <c r="AK12" s="8">
        <v>36.9</v>
      </c>
      <c r="AL12" s="8">
        <v>24.1</v>
      </c>
      <c r="AM12" s="8">
        <v>12.2</v>
      </c>
      <c r="AN12" s="9">
        <v>17.8</v>
      </c>
      <c r="AO12" s="8">
        <v>427</v>
      </c>
      <c r="AP12" s="9">
        <v>4.9</v>
      </c>
      <c r="AQ12" s="1">
        <v>18.34</v>
      </c>
      <c r="AR12" s="8">
        <v>171.8</v>
      </c>
      <c r="AS12" s="8">
        <v>410.4</v>
      </c>
      <c r="AT12" s="9">
        <v>5.59</v>
      </c>
      <c r="AU12" s="9">
        <v>0.81</v>
      </c>
      <c r="AV12" s="9">
        <v>2.5</v>
      </c>
      <c r="AW12" s="9">
        <v>1.04</v>
      </c>
      <c r="AX12" s="9">
        <v>5.12</v>
      </c>
      <c r="AY12" s="8">
        <v>141.8</v>
      </c>
      <c r="AZ12" s="8">
        <v>22</v>
      </c>
      <c r="BA12" s="9">
        <v>1.55</v>
      </c>
      <c r="BB12" s="9">
        <v>3.28</v>
      </c>
      <c r="BC12" s="8">
        <v>184.5</v>
      </c>
      <c r="BD12" s="10">
        <v>3074</v>
      </c>
      <c r="BE12" s="10">
        <v>0</v>
      </c>
    </row>
    <row r="13" ht="15.6" spans="1:57">
      <c r="A13" s="14">
        <v>12</v>
      </c>
      <c r="B13" s="14" t="s">
        <v>67</v>
      </c>
      <c r="C13" s="15">
        <v>0</v>
      </c>
      <c r="D13" s="14">
        <v>1</v>
      </c>
      <c r="E13" s="14">
        <v>58</v>
      </c>
      <c r="F13" s="14">
        <v>0</v>
      </c>
      <c r="G13" s="14">
        <v>0</v>
      </c>
      <c r="H13" s="14">
        <v>163</v>
      </c>
      <c r="I13" s="14">
        <v>57</v>
      </c>
      <c r="J13" s="19">
        <f t="shared" si="0"/>
        <v>21.4535737137265</v>
      </c>
      <c r="K13" s="14">
        <v>0.718</v>
      </c>
      <c r="L13" s="14">
        <v>0.244</v>
      </c>
      <c r="M13" s="14">
        <v>0.031</v>
      </c>
      <c r="N13" s="14">
        <v>261</v>
      </c>
      <c r="O13" s="20">
        <f t="shared" si="1"/>
        <v>0.0912213114754098</v>
      </c>
      <c r="P13" s="20">
        <f t="shared" si="2"/>
        <v>2.94262295081967</v>
      </c>
      <c r="Q13" s="20">
        <f t="shared" si="3"/>
        <v>0.0113733964912281</v>
      </c>
      <c r="R13" s="20">
        <f t="shared" si="4"/>
        <v>2.85964912280702</v>
      </c>
      <c r="S13" s="23">
        <v>1</v>
      </c>
      <c r="T13" s="14">
        <v>1</v>
      </c>
      <c r="U13" s="14">
        <v>2</v>
      </c>
      <c r="V13" s="14">
        <v>0</v>
      </c>
      <c r="W13" s="14">
        <v>0</v>
      </c>
      <c r="X13" s="14">
        <v>2</v>
      </c>
      <c r="Y13" s="14">
        <v>2</v>
      </c>
      <c r="Z13" s="14">
        <v>0</v>
      </c>
      <c r="AA13" s="20">
        <v>1.011</v>
      </c>
      <c r="AB13" s="1">
        <v>1.7</v>
      </c>
      <c r="AC13" s="1">
        <v>145</v>
      </c>
      <c r="AD13" s="9">
        <v>9.5</v>
      </c>
      <c r="AE13" s="7">
        <v>0.419</v>
      </c>
      <c r="AF13" s="8">
        <v>95.7</v>
      </c>
      <c r="AG13" s="1">
        <v>346</v>
      </c>
      <c r="AH13" s="8">
        <v>9.4</v>
      </c>
      <c r="AI13" s="8">
        <v>37.5</v>
      </c>
      <c r="AJ13" s="9">
        <v>4.57</v>
      </c>
      <c r="AK13" s="8">
        <v>37</v>
      </c>
      <c r="AL13" s="8">
        <v>7.4</v>
      </c>
      <c r="AM13" s="8">
        <v>2.2</v>
      </c>
      <c r="AN13" s="9">
        <v>15.9</v>
      </c>
      <c r="AO13" s="8">
        <v>22.3</v>
      </c>
      <c r="AP13" s="9">
        <v>5.12</v>
      </c>
      <c r="AQ13" s="9">
        <v>4.6</v>
      </c>
      <c r="AR13" s="8">
        <v>71.8</v>
      </c>
      <c r="AS13" s="8">
        <v>403.4</v>
      </c>
      <c r="AT13" s="9">
        <v>3.82</v>
      </c>
      <c r="AU13" s="9">
        <v>1.07</v>
      </c>
      <c r="AV13" s="9">
        <v>2.18</v>
      </c>
      <c r="AW13" s="9">
        <v>1.26</v>
      </c>
      <c r="AX13" s="9">
        <v>4.27</v>
      </c>
      <c r="AY13" s="8">
        <v>138.9</v>
      </c>
      <c r="AZ13" s="8">
        <v>27.9</v>
      </c>
      <c r="BA13" s="9">
        <v>0.85</v>
      </c>
      <c r="BB13" s="9">
        <v>2.57</v>
      </c>
      <c r="BC13" s="8">
        <v>134.2</v>
      </c>
      <c r="BD13" s="10">
        <v>3014</v>
      </c>
      <c r="BE13" s="10">
        <v>0</v>
      </c>
    </row>
    <row r="14" ht="15.6" spans="1:57">
      <c r="A14" s="14">
        <v>13</v>
      </c>
      <c r="B14" s="14" t="s">
        <v>68</v>
      </c>
      <c r="C14" s="15">
        <v>0</v>
      </c>
      <c r="D14" s="14">
        <v>2</v>
      </c>
      <c r="E14" s="14">
        <v>65</v>
      </c>
      <c r="F14" s="14">
        <v>0</v>
      </c>
      <c r="G14" s="14">
        <v>0</v>
      </c>
      <c r="H14" s="14">
        <v>163</v>
      </c>
      <c r="I14" s="14">
        <v>59</v>
      </c>
      <c r="J14" s="19">
        <f t="shared" si="0"/>
        <v>22.206330686138</v>
      </c>
      <c r="K14" s="14">
        <v>0.511</v>
      </c>
      <c r="L14" s="14">
        <v>0.449</v>
      </c>
      <c r="M14" s="14">
        <v>0.027</v>
      </c>
      <c r="N14" s="14">
        <v>322</v>
      </c>
      <c r="O14" s="20">
        <f t="shared" si="1"/>
        <v>0.030728285077951</v>
      </c>
      <c r="P14" s="20">
        <f t="shared" si="2"/>
        <v>1.1380846325167</v>
      </c>
      <c r="Q14" s="20">
        <f t="shared" si="3"/>
        <v>0.0202194593220339</v>
      </c>
      <c r="R14" s="20">
        <f t="shared" si="4"/>
        <v>2.76271186440678</v>
      </c>
      <c r="S14" s="23">
        <v>1</v>
      </c>
      <c r="T14" s="14">
        <v>1</v>
      </c>
      <c r="U14" s="14">
        <v>2</v>
      </c>
      <c r="V14" s="14">
        <v>0</v>
      </c>
      <c r="W14" s="14">
        <v>0</v>
      </c>
      <c r="X14" s="14">
        <v>3</v>
      </c>
      <c r="Y14" s="14">
        <v>2</v>
      </c>
      <c r="Z14" s="1">
        <v>0</v>
      </c>
      <c r="AA14" s="20">
        <v>1.014</v>
      </c>
      <c r="AB14" s="1">
        <v>6.8</v>
      </c>
      <c r="AC14" s="1">
        <v>142</v>
      </c>
      <c r="AD14" s="1">
        <v>9.04</v>
      </c>
      <c r="AE14" s="7">
        <v>0.405</v>
      </c>
      <c r="AF14" s="8">
        <v>88</v>
      </c>
      <c r="AG14" s="1">
        <v>351</v>
      </c>
      <c r="AH14" s="8">
        <v>9.8</v>
      </c>
      <c r="AI14" s="8">
        <v>38.8</v>
      </c>
      <c r="AJ14" s="9">
        <v>4.65</v>
      </c>
      <c r="AK14" s="8">
        <v>47.9</v>
      </c>
      <c r="AL14" s="8">
        <v>14.1</v>
      </c>
      <c r="AM14" s="8">
        <v>2.8</v>
      </c>
      <c r="AN14" s="9">
        <v>7.8</v>
      </c>
      <c r="AO14" s="8">
        <v>18.5</v>
      </c>
      <c r="AP14" s="9">
        <v>5.29</v>
      </c>
      <c r="AQ14" s="1">
        <v>3.37</v>
      </c>
      <c r="AR14" s="8">
        <v>61</v>
      </c>
      <c r="AS14" s="8">
        <v>214.5</v>
      </c>
      <c r="AT14" s="9">
        <v>6.65</v>
      </c>
      <c r="AU14" s="9">
        <v>1.7</v>
      </c>
      <c r="AV14" s="9">
        <v>2.36</v>
      </c>
      <c r="AW14" s="9">
        <v>1.29</v>
      </c>
      <c r="AX14" s="9">
        <v>3.61</v>
      </c>
      <c r="AY14" s="8">
        <v>138.7</v>
      </c>
      <c r="AZ14" s="8">
        <v>26.6</v>
      </c>
      <c r="BA14" s="9">
        <v>1.35</v>
      </c>
      <c r="BB14" s="9">
        <v>4.66</v>
      </c>
      <c r="BC14" s="8">
        <v>176.6</v>
      </c>
      <c r="BD14" s="10">
        <v>904</v>
      </c>
      <c r="BE14" s="10">
        <v>1</v>
      </c>
    </row>
    <row r="15" ht="15.6" spans="1:57">
      <c r="A15" s="14">
        <v>14</v>
      </c>
      <c r="B15" s="14" t="s">
        <v>69</v>
      </c>
      <c r="C15" s="15">
        <v>1</v>
      </c>
      <c r="D15" s="14">
        <v>1</v>
      </c>
      <c r="E15" s="14">
        <v>63</v>
      </c>
      <c r="F15" s="14">
        <v>0</v>
      </c>
      <c r="G15" s="14">
        <v>0</v>
      </c>
      <c r="H15" s="14">
        <v>178</v>
      </c>
      <c r="I15" s="14">
        <v>68</v>
      </c>
      <c r="J15" s="19">
        <f t="shared" si="0"/>
        <v>21.4619366241636</v>
      </c>
      <c r="K15" s="14">
        <v>0.694</v>
      </c>
      <c r="L15" s="14">
        <v>0.235</v>
      </c>
      <c r="M15" s="14">
        <v>0.055</v>
      </c>
      <c r="N15" s="14">
        <v>324</v>
      </c>
      <c r="O15" s="20">
        <f t="shared" si="1"/>
        <v>0.162425531914894</v>
      </c>
      <c r="P15" s="20">
        <f t="shared" si="2"/>
        <v>2.9531914893617</v>
      </c>
      <c r="Q15" s="20">
        <f t="shared" si="3"/>
        <v>0.0109496176470588</v>
      </c>
      <c r="R15" s="20">
        <f t="shared" si="4"/>
        <v>2.61764705882353</v>
      </c>
      <c r="S15" s="23">
        <v>1</v>
      </c>
      <c r="T15" s="14">
        <v>2</v>
      </c>
      <c r="U15" s="14">
        <v>2</v>
      </c>
      <c r="V15" s="14">
        <v>0</v>
      </c>
      <c r="W15" s="14">
        <v>0</v>
      </c>
      <c r="X15" s="14">
        <v>2</v>
      </c>
      <c r="Y15" s="14">
        <v>2</v>
      </c>
      <c r="Z15" s="14">
        <v>0</v>
      </c>
      <c r="AA15" s="20">
        <v>1.016</v>
      </c>
      <c r="AB15" s="1">
        <v>4.9</v>
      </c>
      <c r="AC15" s="1">
        <v>129</v>
      </c>
      <c r="AD15" s="1">
        <v>9.69</v>
      </c>
      <c r="AE15" s="7">
        <v>0.399</v>
      </c>
      <c r="AF15" s="8">
        <v>93.4</v>
      </c>
      <c r="AG15" s="1">
        <v>323</v>
      </c>
      <c r="AH15" s="8">
        <v>10.3</v>
      </c>
      <c r="AI15" s="8">
        <v>59.5</v>
      </c>
      <c r="AJ15" s="9">
        <v>5.16</v>
      </c>
      <c r="AK15" s="8">
        <v>39.5</v>
      </c>
      <c r="AL15" s="8">
        <v>7.8</v>
      </c>
      <c r="AM15" s="8">
        <v>3.6</v>
      </c>
      <c r="AN15" s="9">
        <v>17.4</v>
      </c>
      <c r="AO15" s="8">
        <v>11.3</v>
      </c>
      <c r="AP15" s="9">
        <v>4.8</v>
      </c>
      <c r="AQ15" s="1">
        <v>6.17</v>
      </c>
      <c r="AR15" s="8">
        <v>87.4</v>
      </c>
      <c r="AS15" s="8">
        <v>344.4</v>
      </c>
      <c r="AT15" s="9">
        <v>3.73</v>
      </c>
      <c r="AU15" s="9">
        <v>1.1</v>
      </c>
      <c r="AV15" s="9">
        <v>2.2</v>
      </c>
      <c r="AW15" s="9">
        <v>1.16</v>
      </c>
      <c r="AX15" s="9">
        <v>4.23</v>
      </c>
      <c r="AY15" s="8">
        <v>141.4</v>
      </c>
      <c r="AZ15" s="8">
        <v>27.9</v>
      </c>
      <c r="BA15" s="9">
        <v>0.97</v>
      </c>
      <c r="BB15" s="9">
        <v>2.28</v>
      </c>
      <c r="BC15" s="8">
        <v>165.1</v>
      </c>
      <c r="BD15" s="10">
        <v>789</v>
      </c>
      <c r="BE15" s="10">
        <v>1</v>
      </c>
    </row>
    <row r="16" ht="15.6" spans="1:57">
      <c r="A16" s="14">
        <v>15</v>
      </c>
      <c r="B16" s="14" t="s">
        <v>70</v>
      </c>
      <c r="C16" s="15">
        <v>0</v>
      </c>
      <c r="D16" s="14">
        <v>2</v>
      </c>
      <c r="E16" s="14">
        <v>62</v>
      </c>
      <c r="F16" s="14">
        <v>0</v>
      </c>
      <c r="G16" s="14">
        <v>1</v>
      </c>
      <c r="H16" s="14">
        <v>150</v>
      </c>
      <c r="I16" s="14">
        <v>54</v>
      </c>
      <c r="J16" s="19">
        <f t="shared" si="0"/>
        <v>24</v>
      </c>
      <c r="K16" s="14">
        <v>0.384</v>
      </c>
      <c r="L16" s="14">
        <v>0.542</v>
      </c>
      <c r="M16" s="14">
        <v>0.044</v>
      </c>
      <c r="N16" s="14">
        <v>262</v>
      </c>
      <c r="O16" s="20">
        <f t="shared" si="1"/>
        <v>0.0311734317343173</v>
      </c>
      <c r="P16" s="20">
        <f t="shared" si="2"/>
        <v>0.708487084870849</v>
      </c>
      <c r="Q16" s="20">
        <f t="shared" si="3"/>
        <v>0.0225833333333333</v>
      </c>
      <c r="R16" s="20">
        <f t="shared" si="4"/>
        <v>2.77777777777778</v>
      </c>
      <c r="S16" s="23">
        <v>1</v>
      </c>
      <c r="T16" s="14">
        <v>1</v>
      </c>
      <c r="U16" s="14">
        <v>2</v>
      </c>
      <c r="V16" s="14">
        <v>1</v>
      </c>
      <c r="W16" s="14">
        <v>1</v>
      </c>
      <c r="X16" s="14">
        <v>3</v>
      </c>
      <c r="Y16" s="14">
        <v>4</v>
      </c>
      <c r="Z16" s="1">
        <v>0</v>
      </c>
      <c r="AA16" s="20">
        <v>1.007</v>
      </c>
      <c r="AB16" s="8">
        <v>3</v>
      </c>
      <c r="AC16" s="1">
        <v>139</v>
      </c>
      <c r="AD16" s="1">
        <v>3.67</v>
      </c>
      <c r="AE16" s="7">
        <v>0.415</v>
      </c>
      <c r="AF16" s="8">
        <v>89.6</v>
      </c>
      <c r="AG16" s="1">
        <v>335</v>
      </c>
      <c r="AH16" s="8">
        <v>10.6</v>
      </c>
      <c r="AI16" s="8">
        <v>39.1</v>
      </c>
      <c r="AJ16" s="9">
        <v>4.92</v>
      </c>
      <c r="AK16" s="8">
        <v>42.3</v>
      </c>
      <c r="AL16" s="8">
        <v>11.4</v>
      </c>
      <c r="AM16" s="8">
        <v>3.4</v>
      </c>
      <c r="AN16" s="9">
        <v>4.2</v>
      </c>
      <c r="AO16" s="8">
        <v>9.5</v>
      </c>
      <c r="AP16" s="9">
        <v>7.07</v>
      </c>
      <c r="AQ16" s="1">
        <v>4.85</v>
      </c>
      <c r="AR16" s="8">
        <v>52.9</v>
      </c>
      <c r="AS16" s="8">
        <v>281.3</v>
      </c>
      <c r="AT16" s="9">
        <v>3.87</v>
      </c>
      <c r="AU16" s="9">
        <v>0.75</v>
      </c>
      <c r="AV16" s="9">
        <v>2.41</v>
      </c>
      <c r="AW16" s="9">
        <v>1.41</v>
      </c>
      <c r="AX16" s="9">
        <v>4.69</v>
      </c>
      <c r="AY16" s="8">
        <v>144</v>
      </c>
      <c r="AZ16" s="8">
        <v>30.8</v>
      </c>
      <c r="BA16" s="9">
        <v>1.83</v>
      </c>
      <c r="BB16" s="9">
        <v>1.9</v>
      </c>
      <c r="BC16" s="8">
        <v>346</v>
      </c>
      <c r="BD16" s="10">
        <v>2964</v>
      </c>
      <c r="BE16" s="10">
        <v>0</v>
      </c>
    </row>
    <row r="17" ht="15.6" spans="1:57">
      <c r="A17" s="14">
        <v>16</v>
      </c>
      <c r="B17" s="14" t="s">
        <v>71</v>
      </c>
      <c r="C17" s="15">
        <v>0</v>
      </c>
      <c r="D17" s="14">
        <v>1</v>
      </c>
      <c r="E17" s="14">
        <v>51</v>
      </c>
      <c r="F17" s="14">
        <v>0</v>
      </c>
      <c r="G17" s="14">
        <v>0</v>
      </c>
      <c r="H17" s="14">
        <v>180</v>
      </c>
      <c r="I17" s="14">
        <v>78</v>
      </c>
      <c r="J17" s="19">
        <f t="shared" si="0"/>
        <v>24.0740740740741</v>
      </c>
      <c r="K17" s="14">
        <v>0.532</v>
      </c>
      <c r="L17" s="14">
        <v>0.388</v>
      </c>
      <c r="M17" s="14">
        <v>0.06</v>
      </c>
      <c r="N17" s="14">
        <v>191</v>
      </c>
      <c r="O17" s="20">
        <f t="shared" si="1"/>
        <v>0.0822680412371134</v>
      </c>
      <c r="P17" s="20">
        <f t="shared" si="2"/>
        <v>1.37113402061856</v>
      </c>
      <c r="Q17" s="20">
        <f t="shared" si="3"/>
        <v>0.0161169230769231</v>
      </c>
      <c r="R17" s="20">
        <f t="shared" si="4"/>
        <v>2.30769230769231</v>
      </c>
      <c r="S17" s="23">
        <v>1</v>
      </c>
      <c r="T17" s="14">
        <v>1</v>
      </c>
      <c r="U17" s="14">
        <v>1</v>
      </c>
      <c r="V17" s="14">
        <v>0</v>
      </c>
      <c r="W17" s="14">
        <v>0</v>
      </c>
      <c r="X17" s="14">
        <v>3</v>
      </c>
      <c r="Y17" s="14">
        <v>1</v>
      </c>
      <c r="Z17" s="14">
        <v>0</v>
      </c>
      <c r="AA17" s="20">
        <v>1.023</v>
      </c>
      <c r="AB17" s="1">
        <v>3.2</v>
      </c>
      <c r="AC17" s="1">
        <v>160</v>
      </c>
      <c r="AD17" s="1">
        <v>6.32</v>
      </c>
      <c r="AE17" s="7">
        <v>0.457</v>
      </c>
      <c r="AF17" s="8">
        <v>88.6</v>
      </c>
      <c r="AG17" s="1">
        <v>350</v>
      </c>
      <c r="AH17" s="8">
        <v>10.2</v>
      </c>
      <c r="AI17" s="8">
        <v>37.3</v>
      </c>
      <c r="AJ17" s="9">
        <v>3.51</v>
      </c>
      <c r="AK17" s="8">
        <v>42.5</v>
      </c>
      <c r="AL17" s="8">
        <v>16.5</v>
      </c>
      <c r="AM17" s="8">
        <v>2.5</v>
      </c>
      <c r="AN17" s="9">
        <v>17.3</v>
      </c>
      <c r="AO17" s="8">
        <v>71.7</v>
      </c>
      <c r="AP17" s="9">
        <v>4.11</v>
      </c>
      <c r="AQ17" s="1">
        <v>5.78</v>
      </c>
      <c r="AR17" s="8">
        <v>116.5</v>
      </c>
      <c r="AS17" s="8">
        <v>453.5</v>
      </c>
      <c r="AT17" s="9">
        <v>5.45</v>
      </c>
      <c r="AU17" s="9">
        <v>4.23</v>
      </c>
      <c r="AV17" s="9">
        <v>2.32</v>
      </c>
      <c r="AW17" s="9">
        <v>0.95</v>
      </c>
      <c r="AX17" s="9">
        <v>3.96</v>
      </c>
      <c r="AY17" s="8">
        <v>142.6</v>
      </c>
      <c r="AZ17" s="8">
        <v>28</v>
      </c>
      <c r="BA17" s="9">
        <v>0.88</v>
      </c>
      <c r="BB17" s="9">
        <v>3.26</v>
      </c>
      <c r="BC17" s="8">
        <v>152.3</v>
      </c>
      <c r="BD17" s="10">
        <v>2961</v>
      </c>
      <c r="BE17" s="32">
        <v>0</v>
      </c>
    </row>
    <row r="18" ht="15.6" spans="1:57">
      <c r="A18" s="14">
        <v>17</v>
      </c>
      <c r="B18" s="14" t="s">
        <v>72</v>
      </c>
      <c r="C18" s="15">
        <v>1</v>
      </c>
      <c r="D18" s="14">
        <v>2</v>
      </c>
      <c r="E18" s="14">
        <v>59</v>
      </c>
      <c r="F18" s="14">
        <v>1</v>
      </c>
      <c r="G18" s="14">
        <v>0</v>
      </c>
      <c r="H18" s="14">
        <v>165</v>
      </c>
      <c r="I18" s="14">
        <v>75</v>
      </c>
      <c r="J18" s="19">
        <f t="shared" si="0"/>
        <v>27.5482093663912</v>
      </c>
      <c r="K18" s="14">
        <v>0.535</v>
      </c>
      <c r="L18" s="14">
        <v>0.434</v>
      </c>
      <c r="M18" s="14">
        <v>0.018</v>
      </c>
      <c r="N18" s="14">
        <v>210</v>
      </c>
      <c r="O18" s="20">
        <f t="shared" si="1"/>
        <v>0.0221889400921659</v>
      </c>
      <c r="P18" s="20">
        <f t="shared" si="2"/>
        <v>1.23271889400922</v>
      </c>
      <c r="Q18" s="20">
        <f t="shared" si="3"/>
        <v>0.0157542</v>
      </c>
      <c r="R18" s="20">
        <f t="shared" si="4"/>
        <v>2.2</v>
      </c>
      <c r="S18" s="23">
        <v>1</v>
      </c>
      <c r="T18" s="14">
        <v>1</v>
      </c>
      <c r="U18" s="14">
        <v>2</v>
      </c>
      <c r="V18" s="14">
        <v>1</v>
      </c>
      <c r="W18" s="14">
        <v>1</v>
      </c>
      <c r="X18" s="14">
        <v>2</v>
      </c>
      <c r="Y18" s="14">
        <v>4</v>
      </c>
      <c r="Z18" s="14">
        <v>0</v>
      </c>
      <c r="AA18" s="20">
        <v>1.017</v>
      </c>
      <c r="AB18" s="1">
        <v>7.2</v>
      </c>
      <c r="AC18" s="1">
        <v>140</v>
      </c>
      <c r="AD18" s="1">
        <v>5.46</v>
      </c>
      <c r="AE18" s="7">
        <v>0.406</v>
      </c>
      <c r="AF18" s="8">
        <v>87.3</v>
      </c>
      <c r="AG18" s="1">
        <v>345</v>
      </c>
      <c r="AH18" s="8">
        <v>10.9</v>
      </c>
      <c r="AI18" s="8">
        <v>36.2</v>
      </c>
      <c r="AJ18" s="9">
        <v>3.03</v>
      </c>
      <c r="AK18" s="8">
        <v>42.8</v>
      </c>
      <c r="AL18" s="8">
        <v>32.2</v>
      </c>
      <c r="AM18" s="8">
        <v>12.2</v>
      </c>
      <c r="AN18" s="9">
        <v>19.3</v>
      </c>
      <c r="AO18" s="8">
        <v>17.6</v>
      </c>
      <c r="AP18" s="9">
        <v>7.68</v>
      </c>
      <c r="AQ18" s="9">
        <v>5.1</v>
      </c>
      <c r="AR18" s="8">
        <v>59.3</v>
      </c>
      <c r="AS18" s="8">
        <v>342.2</v>
      </c>
      <c r="AT18" s="9">
        <v>4.39</v>
      </c>
      <c r="AU18" s="9">
        <v>1.34</v>
      </c>
      <c r="AV18" s="9">
        <v>2.25</v>
      </c>
      <c r="AW18" s="9">
        <v>1.58</v>
      </c>
      <c r="AX18" s="9">
        <v>3.13</v>
      </c>
      <c r="AY18" s="8">
        <v>143.1</v>
      </c>
      <c r="AZ18" s="8">
        <v>33.3</v>
      </c>
      <c r="BA18" s="9">
        <v>1.18</v>
      </c>
      <c r="BB18" s="9">
        <v>2.88</v>
      </c>
      <c r="BC18" s="8">
        <v>273.4</v>
      </c>
      <c r="BD18" s="10">
        <v>1693</v>
      </c>
      <c r="BE18" s="10">
        <v>1</v>
      </c>
    </row>
    <row r="19" ht="15.6" spans="1:57">
      <c r="A19" s="14">
        <v>18</v>
      </c>
      <c r="B19" s="14" t="s">
        <v>73</v>
      </c>
      <c r="C19" s="15">
        <v>0</v>
      </c>
      <c r="D19" s="14">
        <v>2</v>
      </c>
      <c r="E19" s="14">
        <v>71</v>
      </c>
      <c r="F19" s="14">
        <v>0</v>
      </c>
      <c r="G19" s="14">
        <v>0</v>
      </c>
      <c r="H19" s="14">
        <v>155</v>
      </c>
      <c r="I19" s="14">
        <v>72</v>
      </c>
      <c r="J19" s="19">
        <f t="shared" si="0"/>
        <v>29.9687825182102</v>
      </c>
      <c r="K19" s="14">
        <v>0.639</v>
      </c>
      <c r="L19" s="14">
        <v>0.278</v>
      </c>
      <c r="M19" s="14">
        <v>0.049</v>
      </c>
      <c r="N19" s="14">
        <v>142</v>
      </c>
      <c r="O19" s="20">
        <f t="shared" si="1"/>
        <v>0.112629496402878</v>
      </c>
      <c r="P19" s="20">
        <f t="shared" si="2"/>
        <v>2.29856115107914</v>
      </c>
      <c r="Q19" s="20">
        <f t="shared" si="3"/>
        <v>0.00927631944444445</v>
      </c>
      <c r="R19" s="20">
        <f t="shared" si="4"/>
        <v>2.15277777777778</v>
      </c>
      <c r="S19" s="23">
        <v>1</v>
      </c>
      <c r="T19" s="14">
        <v>1</v>
      </c>
      <c r="U19" s="14">
        <v>2</v>
      </c>
      <c r="V19" s="14">
        <v>0</v>
      </c>
      <c r="W19" s="14">
        <v>0</v>
      </c>
      <c r="X19" s="14">
        <v>3</v>
      </c>
      <c r="Y19" s="14">
        <v>2</v>
      </c>
      <c r="Z19" s="1">
        <v>0</v>
      </c>
      <c r="AA19" s="20">
        <v>1.024</v>
      </c>
      <c r="AB19" s="1">
        <v>12.1</v>
      </c>
      <c r="AC19" s="1">
        <v>119</v>
      </c>
      <c r="AD19" s="1">
        <v>5.46</v>
      </c>
      <c r="AE19" s="7">
        <v>0.358</v>
      </c>
      <c r="AF19" s="8">
        <v>88</v>
      </c>
      <c r="AG19" s="1">
        <v>332</v>
      </c>
      <c r="AH19" s="8">
        <v>12</v>
      </c>
      <c r="AI19" s="8">
        <v>31.5</v>
      </c>
      <c r="AJ19" s="9">
        <v>3.4</v>
      </c>
      <c r="AK19" s="8">
        <v>37.6</v>
      </c>
      <c r="AL19" s="8">
        <v>6.8</v>
      </c>
      <c r="AM19" s="8">
        <v>2.8</v>
      </c>
      <c r="AN19" s="9">
        <v>13.1</v>
      </c>
      <c r="AO19" s="8">
        <v>21.9</v>
      </c>
      <c r="AP19" s="9">
        <v>4.63</v>
      </c>
      <c r="AQ19" s="1">
        <v>7.09</v>
      </c>
      <c r="AR19" s="8">
        <v>61</v>
      </c>
      <c r="AS19" s="8">
        <v>347.5</v>
      </c>
      <c r="AT19" s="9">
        <v>3.52</v>
      </c>
      <c r="AU19" s="9">
        <v>0.66</v>
      </c>
      <c r="AV19" s="9">
        <v>2.16</v>
      </c>
      <c r="AW19" s="9">
        <v>1.21</v>
      </c>
      <c r="AX19" s="9">
        <v>4.19</v>
      </c>
      <c r="AY19" s="8">
        <v>143.1</v>
      </c>
      <c r="AZ19" s="8">
        <v>24</v>
      </c>
      <c r="BA19" s="9">
        <v>1.12</v>
      </c>
      <c r="BB19" s="9">
        <v>2.11</v>
      </c>
      <c r="BC19" s="8">
        <v>152.3</v>
      </c>
      <c r="BD19" s="10">
        <v>2934</v>
      </c>
      <c r="BE19" s="10">
        <v>0</v>
      </c>
    </row>
    <row r="20" ht="15.6" spans="1:57">
      <c r="A20" s="14">
        <v>19</v>
      </c>
      <c r="B20" s="14" t="s">
        <v>74</v>
      </c>
      <c r="C20" s="15">
        <v>0</v>
      </c>
      <c r="D20" s="14">
        <v>1</v>
      </c>
      <c r="E20" s="14">
        <v>62</v>
      </c>
      <c r="F20" s="14">
        <v>0</v>
      </c>
      <c r="G20" s="14">
        <v>0</v>
      </c>
      <c r="H20" s="14">
        <v>164</v>
      </c>
      <c r="I20" s="14">
        <v>80</v>
      </c>
      <c r="J20" s="19">
        <f t="shared" si="0"/>
        <v>29.7441998810232</v>
      </c>
      <c r="K20" s="14">
        <v>0.515</v>
      </c>
      <c r="L20" s="14">
        <v>0.407</v>
      </c>
      <c r="M20" s="14">
        <v>0.053</v>
      </c>
      <c r="N20" s="14">
        <v>162</v>
      </c>
      <c r="O20" s="20">
        <f t="shared" si="1"/>
        <v>0.0670638820638821</v>
      </c>
      <c r="P20" s="20">
        <f t="shared" si="2"/>
        <v>1.26535626535627</v>
      </c>
      <c r="Q20" s="20">
        <f t="shared" si="3"/>
        <v>0.01368334</v>
      </c>
      <c r="R20" s="20">
        <f t="shared" si="4"/>
        <v>2.05</v>
      </c>
      <c r="S20" s="23">
        <v>1</v>
      </c>
      <c r="T20" s="14">
        <v>1</v>
      </c>
      <c r="U20" s="14">
        <v>1</v>
      </c>
      <c r="V20" s="14">
        <v>0</v>
      </c>
      <c r="W20" s="14">
        <v>0</v>
      </c>
      <c r="X20" s="14">
        <v>3</v>
      </c>
      <c r="Y20" s="14">
        <v>1</v>
      </c>
      <c r="Z20" s="1">
        <v>0</v>
      </c>
      <c r="AA20" s="20">
        <v>1.03</v>
      </c>
      <c r="AB20" s="1">
        <v>10.7</v>
      </c>
      <c r="AC20" s="1">
        <v>156</v>
      </c>
      <c r="AD20" s="1">
        <v>5.28</v>
      </c>
      <c r="AE20" s="7">
        <v>0.454</v>
      </c>
      <c r="AF20" s="8">
        <v>95.4</v>
      </c>
      <c r="AG20" s="1">
        <v>344</v>
      </c>
      <c r="AH20" s="8">
        <v>14.8</v>
      </c>
      <c r="AI20" s="8">
        <v>39.4</v>
      </c>
      <c r="AJ20" s="9">
        <v>2.6</v>
      </c>
      <c r="AK20" s="8">
        <v>40.3</v>
      </c>
      <c r="AL20" s="8">
        <v>2.2</v>
      </c>
      <c r="AM20" s="8">
        <v>1</v>
      </c>
      <c r="AN20" s="9">
        <v>15</v>
      </c>
      <c r="AO20" s="8">
        <v>35.5</v>
      </c>
      <c r="AP20" s="9">
        <v>5.44</v>
      </c>
      <c r="AQ20" s="1">
        <v>6.66</v>
      </c>
      <c r="AR20" s="8">
        <v>74.4</v>
      </c>
      <c r="AS20" s="8">
        <v>311.4</v>
      </c>
      <c r="AT20" s="9">
        <v>4.39</v>
      </c>
      <c r="AU20" s="9">
        <v>7</v>
      </c>
      <c r="AV20" s="9">
        <v>2.12</v>
      </c>
      <c r="AW20" s="9">
        <v>0.83</v>
      </c>
      <c r="AX20" s="9">
        <v>3.92</v>
      </c>
      <c r="AY20" s="8">
        <v>142.7</v>
      </c>
      <c r="AZ20" s="8">
        <v>26.1</v>
      </c>
      <c r="BA20" s="9">
        <v>0.67</v>
      </c>
      <c r="BB20" s="9">
        <v>1.7</v>
      </c>
      <c r="BC20" s="8">
        <v>172.8</v>
      </c>
      <c r="BD20" s="10">
        <v>2927</v>
      </c>
      <c r="BE20" s="32">
        <v>0</v>
      </c>
    </row>
    <row r="21" ht="15.6" spans="1:57">
      <c r="A21" s="14">
        <v>20</v>
      </c>
      <c r="B21" s="14" t="s">
        <v>75</v>
      </c>
      <c r="C21" s="15">
        <v>1</v>
      </c>
      <c r="D21" s="14">
        <v>1</v>
      </c>
      <c r="E21" s="14">
        <v>41</v>
      </c>
      <c r="F21" s="14">
        <v>0</v>
      </c>
      <c r="G21" s="14">
        <v>0</v>
      </c>
      <c r="H21" s="14">
        <v>168</v>
      </c>
      <c r="I21" s="14">
        <v>59</v>
      </c>
      <c r="J21" s="19">
        <f t="shared" si="0"/>
        <v>20.9041950113379</v>
      </c>
      <c r="K21" s="14">
        <v>0.512</v>
      </c>
      <c r="L21" s="14">
        <v>0.422</v>
      </c>
      <c r="M21" s="14">
        <v>0.055</v>
      </c>
      <c r="N21" s="14">
        <v>183</v>
      </c>
      <c r="O21" s="20">
        <f t="shared" si="1"/>
        <v>0.0667298578199052</v>
      </c>
      <c r="P21" s="20">
        <f t="shared" si="2"/>
        <v>1.21327014218009</v>
      </c>
      <c r="Q21" s="20">
        <f t="shared" si="3"/>
        <v>0.0201873355932203</v>
      </c>
      <c r="R21" s="20">
        <f t="shared" si="4"/>
        <v>2.84745762711864</v>
      </c>
      <c r="S21" s="23">
        <v>1</v>
      </c>
      <c r="T21" s="14">
        <v>1</v>
      </c>
      <c r="U21" s="14">
        <v>2</v>
      </c>
      <c r="V21" s="14">
        <v>1</v>
      </c>
      <c r="W21" s="14">
        <v>1</v>
      </c>
      <c r="X21" s="14">
        <v>3</v>
      </c>
      <c r="Y21" s="14">
        <v>4</v>
      </c>
      <c r="Z21" s="14">
        <v>0</v>
      </c>
      <c r="AA21" s="20">
        <v>1.017</v>
      </c>
      <c r="AB21" s="1">
        <v>2.5</v>
      </c>
      <c r="AC21" s="1">
        <v>157</v>
      </c>
      <c r="AD21" s="1">
        <v>7.22</v>
      </c>
      <c r="AE21" s="7">
        <v>0.44</v>
      </c>
      <c r="AF21" s="8">
        <v>88.9</v>
      </c>
      <c r="AG21" s="1">
        <v>357</v>
      </c>
      <c r="AH21" s="8">
        <v>13.9</v>
      </c>
      <c r="AI21" s="8">
        <v>45.5</v>
      </c>
      <c r="AJ21" s="9">
        <v>2.61</v>
      </c>
      <c r="AK21" s="8">
        <v>47.7</v>
      </c>
      <c r="AL21" s="8">
        <v>14.3</v>
      </c>
      <c r="AM21" s="8">
        <v>3.6</v>
      </c>
      <c r="AN21" s="9">
        <v>15.5</v>
      </c>
      <c r="AO21" s="8">
        <v>21.8</v>
      </c>
      <c r="AP21" s="9">
        <v>4.85</v>
      </c>
      <c r="AQ21" s="1">
        <v>4.28</v>
      </c>
      <c r="AR21" s="8">
        <v>72.9</v>
      </c>
      <c r="AS21" s="8">
        <v>334.3</v>
      </c>
      <c r="AT21" s="9">
        <v>4.92</v>
      </c>
      <c r="AU21" s="9">
        <v>1.18</v>
      </c>
      <c r="AV21" s="9">
        <v>2.33</v>
      </c>
      <c r="AW21" s="9">
        <v>1.28</v>
      </c>
      <c r="AX21" s="9">
        <v>3.72</v>
      </c>
      <c r="AY21" s="8">
        <v>139.8</v>
      </c>
      <c r="AZ21" s="8">
        <v>24.7</v>
      </c>
      <c r="BA21" s="9">
        <v>1.33</v>
      </c>
      <c r="BB21" s="9">
        <v>3.14</v>
      </c>
      <c r="BC21" s="8">
        <v>193.3</v>
      </c>
      <c r="BD21" s="10">
        <v>1665</v>
      </c>
      <c r="BE21" s="10">
        <v>1</v>
      </c>
    </row>
    <row r="22" ht="15.6" spans="1:57">
      <c r="A22" s="14">
        <v>21</v>
      </c>
      <c r="B22" s="14" t="s">
        <v>76</v>
      </c>
      <c r="C22" s="15">
        <v>1</v>
      </c>
      <c r="D22" s="14">
        <v>1</v>
      </c>
      <c r="E22" s="14">
        <v>58</v>
      </c>
      <c r="F22" s="14">
        <v>1</v>
      </c>
      <c r="G22" s="14">
        <v>1</v>
      </c>
      <c r="H22" s="14">
        <v>172</v>
      </c>
      <c r="I22" s="14">
        <v>74</v>
      </c>
      <c r="J22" s="19">
        <f t="shared" si="0"/>
        <v>25.013520822066</v>
      </c>
      <c r="K22" s="14">
        <v>0.697</v>
      </c>
      <c r="L22" s="14">
        <v>0.208</v>
      </c>
      <c r="M22" s="14">
        <v>0.064</v>
      </c>
      <c r="N22" s="14">
        <v>213</v>
      </c>
      <c r="O22" s="20">
        <f t="shared" si="1"/>
        <v>0.214461538461538</v>
      </c>
      <c r="P22" s="20">
        <f t="shared" si="2"/>
        <v>3.35096153846154</v>
      </c>
      <c r="Q22" s="20">
        <f t="shared" si="3"/>
        <v>0.0083155027027027</v>
      </c>
      <c r="R22" s="20">
        <f t="shared" si="4"/>
        <v>2.32432432432432</v>
      </c>
      <c r="S22" s="23">
        <v>4</v>
      </c>
      <c r="T22" s="14">
        <v>2</v>
      </c>
      <c r="U22" s="14">
        <v>3</v>
      </c>
      <c r="V22" s="14">
        <v>2</v>
      </c>
      <c r="W22" s="14">
        <v>1</v>
      </c>
      <c r="X22" s="14">
        <v>2</v>
      </c>
      <c r="Y22" s="14">
        <v>4</v>
      </c>
      <c r="Z22" s="14">
        <v>1</v>
      </c>
      <c r="AA22" s="20">
        <v>1.015</v>
      </c>
      <c r="AB22" s="1">
        <v>4.8</v>
      </c>
      <c r="AC22" s="1">
        <v>128</v>
      </c>
      <c r="AD22" s="1">
        <v>10.58</v>
      </c>
      <c r="AE22" s="7">
        <v>0.381</v>
      </c>
      <c r="AF22" s="8">
        <v>97.7</v>
      </c>
      <c r="AG22" s="1">
        <v>336</v>
      </c>
      <c r="AH22" s="8">
        <v>10.4</v>
      </c>
      <c r="AI22" s="8">
        <v>33.7</v>
      </c>
      <c r="AJ22" s="9">
        <v>4.5</v>
      </c>
      <c r="AK22" s="8">
        <v>41.9</v>
      </c>
      <c r="AL22" s="8">
        <v>6.5</v>
      </c>
      <c r="AM22" s="8">
        <v>1.6</v>
      </c>
      <c r="AN22" s="9">
        <v>6.6</v>
      </c>
      <c r="AO22" s="8">
        <v>18.7</v>
      </c>
      <c r="AP22" s="9">
        <v>11.98</v>
      </c>
      <c r="AQ22" s="1">
        <v>4.94</v>
      </c>
      <c r="AR22" s="8">
        <v>58.6</v>
      </c>
      <c r="AS22" s="8">
        <v>209.2</v>
      </c>
      <c r="AT22" s="9">
        <v>4.69</v>
      </c>
      <c r="AU22" s="9">
        <v>1.23</v>
      </c>
      <c r="AV22" s="9">
        <v>2.38</v>
      </c>
      <c r="AW22" s="9">
        <v>1.13</v>
      </c>
      <c r="AX22" s="9">
        <v>4.7</v>
      </c>
      <c r="AY22" s="8">
        <v>143.5</v>
      </c>
      <c r="AZ22" s="8">
        <v>32.6</v>
      </c>
      <c r="BA22" s="9">
        <v>1.02</v>
      </c>
      <c r="BB22" s="9">
        <v>3.3</v>
      </c>
      <c r="BC22" s="8">
        <v>275.9</v>
      </c>
      <c r="BD22" s="10">
        <v>2729</v>
      </c>
      <c r="BE22" s="10">
        <v>1</v>
      </c>
    </row>
    <row r="23" ht="15.6" spans="1:57">
      <c r="A23" s="14">
        <v>22</v>
      </c>
      <c r="B23" s="14" t="s">
        <v>77</v>
      </c>
      <c r="C23" s="15">
        <v>0</v>
      </c>
      <c r="D23" s="14">
        <v>1</v>
      </c>
      <c r="E23" s="14">
        <v>34</v>
      </c>
      <c r="F23" s="14">
        <v>0</v>
      </c>
      <c r="G23" s="14">
        <v>0</v>
      </c>
      <c r="H23" s="14">
        <v>170</v>
      </c>
      <c r="I23" s="14">
        <v>55</v>
      </c>
      <c r="J23" s="19">
        <f t="shared" si="0"/>
        <v>19.0311418685121</v>
      </c>
      <c r="K23" s="14">
        <v>0.553</v>
      </c>
      <c r="L23" s="14">
        <v>0.348</v>
      </c>
      <c r="M23" s="14">
        <v>0.041</v>
      </c>
      <c r="N23" s="14">
        <v>201</v>
      </c>
      <c r="O23" s="20">
        <f t="shared" si="1"/>
        <v>0.0651522988505747</v>
      </c>
      <c r="P23" s="20">
        <f t="shared" si="2"/>
        <v>1.58908045977012</v>
      </c>
      <c r="Q23" s="20">
        <f t="shared" si="3"/>
        <v>0.0182858181818182</v>
      </c>
      <c r="R23" s="20">
        <f t="shared" si="4"/>
        <v>3.09090909090909</v>
      </c>
      <c r="S23" s="23">
        <v>1</v>
      </c>
      <c r="T23" s="14">
        <v>1</v>
      </c>
      <c r="U23" s="14">
        <v>3</v>
      </c>
      <c r="V23" s="14">
        <v>0</v>
      </c>
      <c r="W23" s="14">
        <v>0</v>
      </c>
      <c r="X23" s="14">
        <v>2</v>
      </c>
      <c r="Y23" s="14">
        <v>3</v>
      </c>
      <c r="Z23" s="14">
        <v>1</v>
      </c>
      <c r="AA23" s="20">
        <v>1.022</v>
      </c>
      <c r="AB23" s="1">
        <v>7.2</v>
      </c>
      <c r="AC23" s="1">
        <v>155</v>
      </c>
      <c r="AD23" s="1">
        <v>5.86</v>
      </c>
      <c r="AE23" s="7">
        <v>0.475</v>
      </c>
      <c r="AF23" s="8">
        <v>85.1</v>
      </c>
      <c r="AG23" s="1">
        <v>326</v>
      </c>
      <c r="AH23" s="8">
        <v>11</v>
      </c>
      <c r="AI23" s="8">
        <v>32.3</v>
      </c>
      <c r="AJ23" s="9">
        <v>2.26</v>
      </c>
      <c r="AK23" s="8">
        <v>41.3</v>
      </c>
      <c r="AL23" s="8">
        <v>12.3</v>
      </c>
      <c r="AM23" s="8">
        <v>3.8</v>
      </c>
      <c r="AN23" s="9">
        <v>21.6</v>
      </c>
      <c r="AO23" s="8">
        <v>11.5</v>
      </c>
      <c r="AP23" s="9">
        <v>4.28</v>
      </c>
      <c r="AQ23" s="1">
        <v>5.11</v>
      </c>
      <c r="AR23" s="8">
        <v>72.7</v>
      </c>
      <c r="AS23" s="8">
        <v>277.5</v>
      </c>
      <c r="AT23" s="9">
        <v>3.95</v>
      </c>
      <c r="AU23" s="9">
        <v>1.21</v>
      </c>
      <c r="AV23" s="9">
        <v>2.29</v>
      </c>
      <c r="AW23" s="9">
        <v>1.66</v>
      </c>
      <c r="AX23" s="9">
        <v>4.18</v>
      </c>
      <c r="AY23" s="8">
        <v>143.4</v>
      </c>
      <c r="AZ23" s="8">
        <v>30.1</v>
      </c>
      <c r="BA23" s="9">
        <v>1.49</v>
      </c>
      <c r="BB23" s="9">
        <v>2.13</v>
      </c>
      <c r="BC23" s="8">
        <v>190</v>
      </c>
      <c r="BD23" s="10">
        <v>2880</v>
      </c>
      <c r="BE23" s="10">
        <v>0</v>
      </c>
    </row>
    <row r="24" ht="15.6" spans="1:57">
      <c r="A24" s="14">
        <v>23</v>
      </c>
      <c r="B24" s="14" t="s">
        <v>78</v>
      </c>
      <c r="C24" s="15">
        <v>0</v>
      </c>
      <c r="D24" s="14">
        <v>2</v>
      </c>
      <c r="E24" s="14">
        <v>56</v>
      </c>
      <c r="F24" s="14">
        <v>0</v>
      </c>
      <c r="G24" s="14">
        <v>0</v>
      </c>
      <c r="H24" s="14">
        <v>165</v>
      </c>
      <c r="I24" s="14">
        <v>60</v>
      </c>
      <c r="J24" s="19">
        <f t="shared" si="0"/>
        <v>22.038567493113</v>
      </c>
      <c r="K24" s="14">
        <v>0.568</v>
      </c>
      <c r="L24" s="14">
        <v>0.311</v>
      </c>
      <c r="M24" s="14">
        <v>0.089</v>
      </c>
      <c r="N24" s="14">
        <v>244</v>
      </c>
      <c r="O24" s="20">
        <f t="shared" si="1"/>
        <v>0.162546623794212</v>
      </c>
      <c r="P24" s="20">
        <f t="shared" si="2"/>
        <v>1.82636655948553</v>
      </c>
      <c r="Q24" s="20">
        <f t="shared" si="3"/>
        <v>0.014111625</v>
      </c>
      <c r="R24" s="20">
        <f t="shared" si="4"/>
        <v>2.75</v>
      </c>
      <c r="S24" s="23">
        <v>1</v>
      </c>
      <c r="T24" s="14">
        <v>1</v>
      </c>
      <c r="U24" s="14">
        <v>2</v>
      </c>
      <c r="V24" s="14">
        <v>0</v>
      </c>
      <c r="W24" s="14">
        <v>0</v>
      </c>
      <c r="X24" s="14">
        <v>3</v>
      </c>
      <c r="Y24" s="14">
        <v>2</v>
      </c>
      <c r="Z24" s="1">
        <v>0</v>
      </c>
      <c r="AA24" s="20">
        <v>1.017</v>
      </c>
      <c r="AB24" s="1">
        <v>4.2</v>
      </c>
      <c r="AC24" s="1">
        <v>125</v>
      </c>
      <c r="AD24" s="1">
        <v>7.68</v>
      </c>
      <c r="AE24" s="7">
        <v>0.378</v>
      </c>
      <c r="AF24" s="8">
        <v>86.9</v>
      </c>
      <c r="AG24" s="1">
        <v>331</v>
      </c>
      <c r="AH24" s="8">
        <v>12.6</v>
      </c>
      <c r="AI24" s="8">
        <v>35.3</v>
      </c>
      <c r="AJ24" s="9">
        <v>4.13</v>
      </c>
      <c r="AK24" s="8">
        <v>41</v>
      </c>
      <c r="AL24" s="8">
        <v>14.9</v>
      </c>
      <c r="AM24" s="8">
        <v>4</v>
      </c>
      <c r="AN24" s="9">
        <v>13.3</v>
      </c>
      <c r="AO24" s="8">
        <v>9.4</v>
      </c>
      <c r="AP24" s="9">
        <v>5.04</v>
      </c>
      <c r="AQ24" s="1">
        <v>5.05</v>
      </c>
      <c r="AR24" s="8">
        <v>70.6</v>
      </c>
      <c r="AS24" s="8">
        <v>292.3</v>
      </c>
      <c r="AT24" s="9">
        <v>3.58</v>
      </c>
      <c r="AU24" s="9">
        <v>1.24</v>
      </c>
      <c r="AV24" s="9">
        <v>2.33</v>
      </c>
      <c r="AW24" s="9">
        <v>1.25</v>
      </c>
      <c r="AX24" s="9">
        <v>4.59</v>
      </c>
      <c r="AY24" s="8">
        <v>141.9</v>
      </c>
      <c r="AZ24" s="8">
        <v>26</v>
      </c>
      <c r="BA24" s="9">
        <v>1.15</v>
      </c>
      <c r="BB24" s="9">
        <v>2.1</v>
      </c>
      <c r="BC24" s="8">
        <v>176.8</v>
      </c>
      <c r="BD24" s="10">
        <v>2852</v>
      </c>
      <c r="BE24" s="10">
        <v>0</v>
      </c>
    </row>
    <row r="25" ht="15.6" spans="1:57">
      <c r="A25" s="14">
        <v>24</v>
      </c>
      <c r="B25" s="14" t="s">
        <v>79</v>
      </c>
      <c r="C25" s="15">
        <v>1</v>
      </c>
      <c r="D25" s="14">
        <v>1</v>
      </c>
      <c r="E25" s="14">
        <v>48</v>
      </c>
      <c r="F25" s="14">
        <v>0</v>
      </c>
      <c r="G25" s="14">
        <v>0</v>
      </c>
      <c r="H25" s="14">
        <v>175</v>
      </c>
      <c r="I25" s="14">
        <v>69</v>
      </c>
      <c r="J25" s="19">
        <f t="shared" si="0"/>
        <v>22.530612244898</v>
      </c>
      <c r="K25" s="14">
        <v>0.649</v>
      </c>
      <c r="L25" s="14">
        <v>0.287</v>
      </c>
      <c r="M25" s="14">
        <v>0.048</v>
      </c>
      <c r="N25" s="14">
        <v>235</v>
      </c>
      <c r="O25" s="20">
        <f t="shared" si="1"/>
        <v>0.108543554006969</v>
      </c>
      <c r="P25" s="20">
        <f t="shared" si="2"/>
        <v>2.26132404181185</v>
      </c>
      <c r="Q25" s="20">
        <f t="shared" si="3"/>
        <v>0.0127382246376812</v>
      </c>
      <c r="R25" s="20">
        <f t="shared" si="4"/>
        <v>2.53623188405797</v>
      </c>
      <c r="S25" s="23">
        <v>1</v>
      </c>
      <c r="T25" s="14">
        <v>1</v>
      </c>
      <c r="U25" s="14">
        <v>2</v>
      </c>
      <c r="V25" s="14">
        <v>0</v>
      </c>
      <c r="W25" s="14">
        <v>0</v>
      </c>
      <c r="X25" s="14">
        <v>2</v>
      </c>
      <c r="Y25" s="14">
        <v>2</v>
      </c>
      <c r="Z25" s="14">
        <v>0</v>
      </c>
      <c r="AA25" s="20">
        <v>1.013</v>
      </c>
      <c r="AB25" s="1">
        <v>3.7</v>
      </c>
      <c r="AC25" s="1">
        <v>162</v>
      </c>
      <c r="AD25" s="1">
        <v>7.26</v>
      </c>
      <c r="AE25" s="7">
        <v>0.471</v>
      </c>
      <c r="AF25" s="8">
        <v>92.4</v>
      </c>
      <c r="AG25" s="1">
        <v>344</v>
      </c>
      <c r="AH25" s="8">
        <v>10</v>
      </c>
      <c r="AI25" s="8">
        <v>37</v>
      </c>
      <c r="AJ25" s="9">
        <v>4.06</v>
      </c>
      <c r="AK25" s="8">
        <v>42.2</v>
      </c>
      <c r="AL25" s="8">
        <v>9.9</v>
      </c>
      <c r="AM25" s="8">
        <v>3</v>
      </c>
      <c r="AN25" s="9">
        <v>10.4</v>
      </c>
      <c r="AO25" s="8">
        <v>26.8</v>
      </c>
      <c r="AP25" s="9">
        <v>5.62</v>
      </c>
      <c r="AQ25" s="1">
        <v>3.74</v>
      </c>
      <c r="AR25" s="8">
        <v>64.1</v>
      </c>
      <c r="AS25" s="8">
        <v>210.2</v>
      </c>
      <c r="AT25" s="9">
        <v>5.57</v>
      </c>
      <c r="AU25" s="9">
        <v>1.02</v>
      </c>
      <c r="AV25" s="9">
        <v>2.42</v>
      </c>
      <c r="AW25" s="9">
        <v>1.14</v>
      </c>
      <c r="AX25" s="9">
        <v>4.1</v>
      </c>
      <c r="AY25" s="8">
        <v>141.6</v>
      </c>
      <c r="AZ25" s="8">
        <v>25.9</v>
      </c>
      <c r="BA25" s="9">
        <v>1.72</v>
      </c>
      <c r="BB25" s="9">
        <v>3.48</v>
      </c>
      <c r="BC25" s="8">
        <v>178</v>
      </c>
      <c r="BD25" s="10">
        <v>2485</v>
      </c>
      <c r="BE25" s="10">
        <v>1</v>
      </c>
    </row>
    <row r="26" ht="15.6" spans="1:57">
      <c r="A26" s="14">
        <v>25</v>
      </c>
      <c r="B26" s="14" t="s">
        <v>80</v>
      </c>
      <c r="C26" s="15">
        <v>0</v>
      </c>
      <c r="D26" s="14">
        <v>2</v>
      </c>
      <c r="E26" s="14">
        <v>70</v>
      </c>
      <c r="F26" s="14">
        <v>0</v>
      </c>
      <c r="G26" s="14">
        <v>0</v>
      </c>
      <c r="H26" s="14">
        <v>159</v>
      </c>
      <c r="I26" s="14">
        <v>52</v>
      </c>
      <c r="J26" s="19">
        <f t="shared" si="0"/>
        <v>20.5688066136624</v>
      </c>
      <c r="K26" s="20">
        <v>0.47</v>
      </c>
      <c r="L26" s="14">
        <v>0.447</v>
      </c>
      <c r="M26" s="14">
        <v>0.058</v>
      </c>
      <c r="N26" s="14">
        <v>188</v>
      </c>
      <c r="O26" s="20">
        <f t="shared" si="1"/>
        <v>0.0609843400447427</v>
      </c>
      <c r="P26" s="20">
        <f t="shared" si="2"/>
        <v>1.05145413870246</v>
      </c>
      <c r="Q26" s="20">
        <f t="shared" si="3"/>
        <v>0.0217319365384615</v>
      </c>
      <c r="R26" s="20">
        <f t="shared" si="4"/>
        <v>3.05769230769231</v>
      </c>
      <c r="S26" s="23">
        <v>1</v>
      </c>
      <c r="T26" s="14">
        <v>1</v>
      </c>
      <c r="U26" s="14">
        <v>2</v>
      </c>
      <c r="V26" s="14">
        <v>0</v>
      </c>
      <c r="W26" s="14">
        <v>0</v>
      </c>
      <c r="X26" s="14">
        <v>3</v>
      </c>
      <c r="Y26" s="14">
        <v>2</v>
      </c>
      <c r="Z26" s="1">
        <v>0</v>
      </c>
      <c r="AA26" s="20">
        <v>1.016</v>
      </c>
      <c r="AB26" s="1">
        <v>2.1</v>
      </c>
      <c r="AC26" s="1">
        <v>109</v>
      </c>
      <c r="AD26" s="1">
        <v>4.32</v>
      </c>
      <c r="AE26" s="7">
        <v>0.331</v>
      </c>
      <c r="AF26" s="8">
        <v>91.4</v>
      </c>
      <c r="AG26" s="1">
        <v>329</v>
      </c>
      <c r="AH26" s="8">
        <v>10.4</v>
      </c>
      <c r="AI26" s="8">
        <v>34.5</v>
      </c>
      <c r="AJ26" s="9">
        <v>3.23</v>
      </c>
      <c r="AK26" s="8">
        <v>38.6</v>
      </c>
      <c r="AL26" s="8">
        <v>6.1</v>
      </c>
      <c r="AM26" s="8">
        <v>1.8</v>
      </c>
      <c r="AN26" s="9">
        <v>13.6</v>
      </c>
      <c r="AO26" s="8">
        <v>12</v>
      </c>
      <c r="AP26" s="9">
        <v>4.49</v>
      </c>
      <c r="AQ26" s="1">
        <v>6.12</v>
      </c>
      <c r="AR26" s="8">
        <v>75.7</v>
      </c>
      <c r="AS26" s="8">
        <v>339.8</v>
      </c>
      <c r="AT26" s="9">
        <v>3.99</v>
      </c>
      <c r="AU26" s="9">
        <v>1.51</v>
      </c>
      <c r="AV26" s="9">
        <v>2.22</v>
      </c>
      <c r="AW26" s="9">
        <v>1.25</v>
      </c>
      <c r="AX26" s="9">
        <v>4.4</v>
      </c>
      <c r="AY26" s="8">
        <v>143.6</v>
      </c>
      <c r="AZ26" s="8">
        <v>27.7</v>
      </c>
      <c r="BA26" s="9">
        <v>1.38</v>
      </c>
      <c r="BB26" s="9">
        <v>2.37</v>
      </c>
      <c r="BC26" s="8">
        <v>216.6</v>
      </c>
      <c r="BD26" s="10">
        <v>2838</v>
      </c>
      <c r="BE26" s="10">
        <v>0</v>
      </c>
    </row>
    <row r="27" ht="15.6" spans="1:57">
      <c r="A27" s="14">
        <v>26</v>
      </c>
      <c r="B27" s="14" t="s">
        <v>81</v>
      </c>
      <c r="C27" s="15">
        <v>1</v>
      </c>
      <c r="D27" s="14">
        <v>1</v>
      </c>
      <c r="E27" s="14">
        <v>60</v>
      </c>
      <c r="F27" s="14">
        <v>1</v>
      </c>
      <c r="G27" s="14">
        <v>0</v>
      </c>
      <c r="H27" s="14">
        <v>167</v>
      </c>
      <c r="I27" s="14">
        <v>68</v>
      </c>
      <c r="J27" s="19">
        <f t="shared" si="0"/>
        <v>24.3823729785937</v>
      </c>
      <c r="K27" s="14">
        <v>0.543</v>
      </c>
      <c r="L27" s="14">
        <v>0.323</v>
      </c>
      <c r="M27" s="14">
        <v>0.074</v>
      </c>
      <c r="N27" s="14">
        <v>148</v>
      </c>
      <c r="O27" s="20">
        <f t="shared" si="1"/>
        <v>0.124402476780186</v>
      </c>
      <c r="P27" s="20">
        <f t="shared" si="2"/>
        <v>1.68111455108359</v>
      </c>
      <c r="Q27" s="20">
        <f t="shared" si="3"/>
        <v>0.013247275</v>
      </c>
      <c r="R27" s="20">
        <f t="shared" si="4"/>
        <v>2.45588235294118</v>
      </c>
      <c r="S27" s="23">
        <v>3</v>
      </c>
      <c r="T27" s="14">
        <v>1</v>
      </c>
      <c r="U27" s="14">
        <v>2</v>
      </c>
      <c r="V27" s="14">
        <v>2</v>
      </c>
      <c r="W27" s="14">
        <v>1</v>
      </c>
      <c r="X27" s="14">
        <v>3</v>
      </c>
      <c r="Y27" s="14">
        <v>4</v>
      </c>
      <c r="Z27" s="14">
        <v>0</v>
      </c>
      <c r="AA27" s="20">
        <v>1.02</v>
      </c>
      <c r="AB27" s="1">
        <v>6.7</v>
      </c>
      <c r="AC27" s="1">
        <v>152</v>
      </c>
      <c r="AD27" s="1">
        <v>6.91</v>
      </c>
      <c r="AE27" s="7">
        <v>0.471</v>
      </c>
      <c r="AF27" s="8">
        <v>97.9</v>
      </c>
      <c r="AG27" s="1">
        <v>323</v>
      </c>
      <c r="AH27" s="8">
        <v>14.4</v>
      </c>
      <c r="AI27" s="8">
        <v>29.6</v>
      </c>
      <c r="AJ27" s="9">
        <v>3</v>
      </c>
      <c r="AK27" s="8">
        <v>45.3</v>
      </c>
      <c r="AL27" s="8">
        <v>11.4</v>
      </c>
      <c r="AM27" s="8">
        <v>2.8</v>
      </c>
      <c r="AN27" s="9">
        <v>27</v>
      </c>
      <c r="AO27" s="8">
        <v>17.1</v>
      </c>
      <c r="AP27" s="9">
        <v>4.23</v>
      </c>
      <c r="AQ27" s="1">
        <v>7.04</v>
      </c>
      <c r="AR27" s="8">
        <v>86.1</v>
      </c>
      <c r="AS27" s="8">
        <v>371.4</v>
      </c>
      <c r="AT27" s="9">
        <v>5.83</v>
      </c>
      <c r="AU27" s="9">
        <v>0.66</v>
      </c>
      <c r="AV27" s="9">
        <v>2.28</v>
      </c>
      <c r="AW27" s="9">
        <v>1.05</v>
      </c>
      <c r="AX27" s="9">
        <v>4.01</v>
      </c>
      <c r="AY27" s="8">
        <v>143.9</v>
      </c>
      <c r="AZ27" s="8">
        <v>28.1</v>
      </c>
      <c r="BA27" s="9">
        <v>1.81</v>
      </c>
      <c r="BB27" s="9">
        <v>3.69</v>
      </c>
      <c r="BC27" s="8">
        <v>173.9</v>
      </c>
      <c r="BD27" s="10">
        <v>207</v>
      </c>
      <c r="BE27" s="10">
        <v>1</v>
      </c>
    </row>
    <row r="28" ht="15.6" spans="1:57">
      <c r="A28" s="14">
        <v>27</v>
      </c>
      <c r="B28" s="14" t="s">
        <v>82</v>
      </c>
      <c r="C28" s="15">
        <v>0</v>
      </c>
      <c r="D28" s="14">
        <v>2</v>
      </c>
      <c r="E28" s="14">
        <v>73</v>
      </c>
      <c r="F28" s="14">
        <v>1</v>
      </c>
      <c r="G28" s="14">
        <v>0</v>
      </c>
      <c r="H28" s="14">
        <v>167</v>
      </c>
      <c r="I28" s="14">
        <v>69</v>
      </c>
      <c r="J28" s="19">
        <f t="shared" si="0"/>
        <v>24.7409372871024</v>
      </c>
      <c r="K28" s="20">
        <v>0.53</v>
      </c>
      <c r="L28" s="14">
        <v>0.371</v>
      </c>
      <c r="M28" s="14">
        <v>0.053</v>
      </c>
      <c r="N28" s="14">
        <v>251</v>
      </c>
      <c r="O28" s="20">
        <f t="shared" si="1"/>
        <v>0.0757142857142857</v>
      </c>
      <c r="P28" s="20">
        <f t="shared" si="2"/>
        <v>1.42857142857143</v>
      </c>
      <c r="Q28" s="20">
        <f t="shared" si="3"/>
        <v>0.0149953898550725</v>
      </c>
      <c r="R28" s="20">
        <f t="shared" si="4"/>
        <v>2.42028985507246</v>
      </c>
      <c r="S28" s="23">
        <v>1</v>
      </c>
      <c r="T28" s="14">
        <v>1</v>
      </c>
      <c r="U28" s="14">
        <v>2</v>
      </c>
      <c r="V28" s="14">
        <v>0</v>
      </c>
      <c r="W28" s="14">
        <v>0</v>
      </c>
      <c r="X28" s="14">
        <v>3</v>
      </c>
      <c r="Y28" s="14">
        <v>2</v>
      </c>
      <c r="Z28" s="1">
        <v>0</v>
      </c>
      <c r="AA28" s="20">
        <v>1.019</v>
      </c>
      <c r="AB28" s="1">
        <v>31.5</v>
      </c>
      <c r="AC28" s="1">
        <v>127</v>
      </c>
      <c r="AD28" s="1">
        <v>5.82</v>
      </c>
      <c r="AE28" s="7">
        <v>0.41</v>
      </c>
      <c r="AF28" s="8">
        <v>92.3</v>
      </c>
      <c r="AG28" s="1">
        <v>310</v>
      </c>
      <c r="AH28" s="8">
        <v>10.8</v>
      </c>
      <c r="AI28" s="8">
        <v>38.2</v>
      </c>
      <c r="AJ28" s="9">
        <v>3.5</v>
      </c>
      <c r="AK28" s="8">
        <v>41.5</v>
      </c>
      <c r="AL28" s="8">
        <v>9.9</v>
      </c>
      <c r="AM28" s="8">
        <v>2.5</v>
      </c>
      <c r="AN28" s="9">
        <v>14.8</v>
      </c>
      <c r="AO28" s="8">
        <v>13.8</v>
      </c>
      <c r="AP28" s="9">
        <v>4.79</v>
      </c>
      <c r="AQ28" s="1">
        <v>4.97</v>
      </c>
      <c r="AR28" s="8">
        <v>48.1</v>
      </c>
      <c r="AS28" s="8">
        <v>384.4</v>
      </c>
      <c r="AT28" s="9">
        <v>4.49</v>
      </c>
      <c r="AU28" s="9">
        <v>2</v>
      </c>
      <c r="AV28" s="9">
        <v>2.27</v>
      </c>
      <c r="AW28" s="9">
        <v>1.13</v>
      </c>
      <c r="AX28" s="9">
        <v>3.83</v>
      </c>
      <c r="AY28" s="8">
        <v>144</v>
      </c>
      <c r="AZ28" s="8">
        <v>26.4</v>
      </c>
      <c r="BA28" s="9">
        <v>1.05</v>
      </c>
      <c r="BB28" s="9">
        <v>2.84</v>
      </c>
      <c r="BC28" s="8">
        <v>184.3</v>
      </c>
      <c r="BD28" s="10">
        <v>1906</v>
      </c>
      <c r="BE28" s="10">
        <v>1</v>
      </c>
    </row>
    <row r="29" ht="15.6" spans="1:57">
      <c r="A29" s="14">
        <v>28</v>
      </c>
      <c r="B29" s="14" t="s">
        <v>83</v>
      </c>
      <c r="C29" s="15">
        <v>0</v>
      </c>
      <c r="D29" s="14">
        <v>1</v>
      </c>
      <c r="E29" s="14">
        <v>42</v>
      </c>
      <c r="F29" s="14">
        <v>1</v>
      </c>
      <c r="G29" s="14">
        <v>0</v>
      </c>
      <c r="H29" s="14">
        <v>172</v>
      </c>
      <c r="I29" s="14">
        <v>70</v>
      </c>
      <c r="J29" s="19">
        <f t="shared" si="0"/>
        <v>23.6614386154678</v>
      </c>
      <c r="K29" s="14">
        <v>0.678</v>
      </c>
      <c r="L29" s="14">
        <v>0.256</v>
      </c>
      <c r="M29" s="14">
        <v>0.06</v>
      </c>
      <c r="N29" s="14">
        <v>233</v>
      </c>
      <c r="O29" s="20">
        <f t="shared" si="1"/>
        <v>0.15890625</v>
      </c>
      <c r="P29" s="20">
        <f t="shared" si="2"/>
        <v>2.6484375</v>
      </c>
      <c r="Q29" s="20">
        <f t="shared" si="3"/>
        <v>0.0108192914285714</v>
      </c>
      <c r="R29" s="20">
        <f t="shared" si="4"/>
        <v>2.45714285714286</v>
      </c>
      <c r="S29" s="23">
        <v>1</v>
      </c>
      <c r="T29" s="14">
        <v>1</v>
      </c>
      <c r="U29" s="14">
        <v>1</v>
      </c>
      <c r="V29" s="14">
        <v>0</v>
      </c>
      <c r="W29" s="14">
        <v>0</v>
      </c>
      <c r="X29" s="14">
        <v>3</v>
      </c>
      <c r="Y29" s="14">
        <v>1</v>
      </c>
      <c r="Z29" s="14">
        <v>0</v>
      </c>
      <c r="AA29" s="20"/>
      <c r="AC29" s="1">
        <v>148</v>
      </c>
      <c r="AD29" s="1">
        <v>5.67</v>
      </c>
      <c r="AE29" s="7">
        <v>0.442</v>
      </c>
      <c r="AF29" s="8">
        <v>91.9</v>
      </c>
      <c r="AG29" s="1">
        <v>335</v>
      </c>
      <c r="AH29" s="8">
        <v>10.1</v>
      </c>
      <c r="AI29" s="8">
        <v>31.2</v>
      </c>
      <c r="AJ29" s="9">
        <v>3.07</v>
      </c>
      <c r="AK29" s="8">
        <v>45.1</v>
      </c>
      <c r="AL29" s="8">
        <v>34.4</v>
      </c>
      <c r="AM29" s="8">
        <v>8</v>
      </c>
      <c r="AN29" s="9">
        <v>15.9</v>
      </c>
      <c r="AO29" s="8">
        <v>33.7</v>
      </c>
      <c r="AP29" s="9">
        <v>5.5</v>
      </c>
      <c r="AQ29" s="1">
        <v>4.63</v>
      </c>
      <c r="AR29" s="8">
        <v>78.8</v>
      </c>
      <c r="AS29" s="8">
        <v>326.3</v>
      </c>
      <c r="AT29" s="9">
        <v>5.06</v>
      </c>
      <c r="AU29" s="9">
        <v>1.18</v>
      </c>
      <c r="AV29" s="9">
        <v>2.4</v>
      </c>
      <c r="AW29" s="9">
        <v>0.89</v>
      </c>
      <c r="AX29" s="9">
        <v>4.37</v>
      </c>
      <c r="AY29" s="8">
        <v>138.7</v>
      </c>
      <c r="AZ29" s="8">
        <v>23.8</v>
      </c>
      <c r="BA29" s="9">
        <v>1.3</v>
      </c>
      <c r="BB29" s="9">
        <v>3.54</v>
      </c>
      <c r="BC29" s="8">
        <v>174.3</v>
      </c>
      <c r="BD29" s="10">
        <v>2803</v>
      </c>
      <c r="BE29" s="32">
        <v>0</v>
      </c>
    </row>
    <row r="30" ht="15.6" spans="1:57">
      <c r="A30" s="14">
        <v>29</v>
      </c>
      <c r="B30" s="14" t="s">
        <v>84</v>
      </c>
      <c r="C30" s="15">
        <v>0</v>
      </c>
      <c r="D30" s="14">
        <v>2</v>
      </c>
      <c r="E30" s="14">
        <v>58</v>
      </c>
      <c r="F30" s="14">
        <v>0</v>
      </c>
      <c r="G30" s="14">
        <v>0</v>
      </c>
      <c r="H30" s="14">
        <v>165</v>
      </c>
      <c r="I30" s="14">
        <v>75</v>
      </c>
      <c r="J30" s="19">
        <f t="shared" si="0"/>
        <v>27.5482093663912</v>
      </c>
      <c r="K30" s="14">
        <v>0.481</v>
      </c>
      <c r="L30" s="14">
        <v>0.428</v>
      </c>
      <c r="M30" s="14">
        <v>0.068</v>
      </c>
      <c r="N30" s="14">
        <v>189</v>
      </c>
      <c r="O30" s="20">
        <f t="shared" si="1"/>
        <v>0.0764205607476636</v>
      </c>
      <c r="P30" s="20">
        <f t="shared" si="2"/>
        <v>1.12383177570093</v>
      </c>
      <c r="Q30" s="20">
        <f t="shared" si="3"/>
        <v>0.0155364</v>
      </c>
      <c r="R30" s="20">
        <f t="shared" si="4"/>
        <v>2.2</v>
      </c>
      <c r="S30" s="23">
        <v>1</v>
      </c>
      <c r="T30" s="14">
        <v>1</v>
      </c>
      <c r="U30" s="14">
        <v>3</v>
      </c>
      <c r="V30" s="14">
        <v>0</v>
      </c>
      <c r="W30" s="14">
        <v>0</v>
      </c>
      <c r="X30" s="14">
        <v>2</v>
      </c>
      <c r="Y30" s="14">
        <v>2</v>
      </c>
      <c r="Z30" s="14">
        <v>1</v>
      </c>
      <c r="AA30" s="20">
        <v>1.01</v>
      </c>
      <c r="AB30" s="1">
        <v>1.1</v>
      </c>
      <c r="AC30" s="1">
        <v>146</v>
      </c>
      <c r="AD30" s="1">
        <v>7.46</v>
      </c>
      <c r="AE30" s="7">
        <v>0.441</v>
      </c>
      <c r="AF30" s="8">
        <v>96.5</v>
      </c>
      <c r="AG30" s="1">
        <v>331</v>
      </c>
      <c r="AH30" s="8">
        <v>12.6</v>
      </c>
      <c r="AI30" s="8">
        <v>35.4</v>
      </c>
      <c r="AJ30" s="9">
        <v>2.68</v>
      </c>
      <c r="AK30" s="8">
        <v>46.5</v>
      </c>
      <c r="AL30" s="8">
        <v>10.4</v>
      </c>
      <c r="AM30" s="8">
        <v>3.5</v>
      </c>
      <c r="AN30" s="9">
        <v>17.5</v>
      </c>
      <c r="AO30" s="8">
        <v>23.5</v>
      </c>
      <c r="AP30" s="9">
        <v>4.7</v>
      </c>
      <c r="AQ30" s="1">
        <v>4.52</v>
      </c>
      <c r="AR30" s="8">
        <v>79.5</v>
      </c>
      <c r="AS30" s="8">
        <v>319</v>
      </c>
      <c r="AT30" s="9">
        <v>4.9</v>
      </c>
      <c r="AU30" s="9">
        <v>1.02</v>
      </c>
      <c r="AV30" s="9">
        <v>2.41</v>
      </c>
      <c r="AW30" s="9">
        <v>1.25</v>
      </c>
      <c r="AX30" s="9">
        <v>4.14</v>
      </c>
      <c r="AY30" s="8">
        <v>142.5</v>
      </c>
      <c r="AZ30" s="8">
        <v>29</v>
      </c>
      <c r="BA30" s="9">
        <v>1.21</v>
      </c>
      <c r="BB30" s="9">
        <v>3.28</v>
      </c>
      <c r="BC30" s="8">
        <v>227.3</v>
      </c>
      <c r="BD30" s="10">
        <v>2802</v>
      </c>
      <c r="BE30" s="10">
        <v>0</v>
      </c>
    </row>
    <row r="31" ht="15.6" spans="1:57">
      <c r="A31" s="14">
        <v>30</v>
      </c>
      <c r="B31" s="14" t="s">
        <v>85</v>
      </c>
      <c r="C31" s="15">
        <v>1</v>
      </c>
      <c r="D31" s="14">
        <v>2</v>
      </c>
      <c r="E31" s="14">
        <v>48</v>
      </c>
      <c r="F31" s="14">
        <v>0</v>
      </c>
      <c r="G31" s="14">
        <v>0</v>
      </c>
      <c r="H31" s="14">
        <v>165</v>
      </c>
      <c r="I31" s="14">
        <v>70</v>
      </c>
      <c r="J31" s="19">
        <f t="shared" si="0"/>
        <v>25.7116620752984</v>
      </c>
      <c r="K31" s="20">
        <v>0.5</v>
      </c>
      <c r="L31" s="14">
        <v>0.441</v>
      </c>
      <c r="M31" s="14">
        <v>0.05</v>
      </c>
      <c r="N31" s="14">
        <v>188</v>
      </c>
      <c r="O31" s="20">
        <f t="shared" si="1"/>
        <v>0.0566893424036281</v>
      </c>
      <c r="P31" s="20">
        <f t="shared" si="2"/>
        <v>1.13378684807256</v>
      </c>
      <c r="Q31" s="20">
        <f t="shared" si="3"/>
        <v>0.01715175</v>
      </c>
      <c r="R31" s="20">
        <f t="shared" si="4"/>
        <v>2.35714285714286</v>
      </c>
      <c r="S31" s="23">
        <v>1</v>
      </c>
      <c r="T31" s="14">
        <v>1</v>
      </c>
      <c r="U31" s="14">
        <v>1</v>
      </c>
      <c r="V31" s="14">
        <v>2</v>
      </c>
      <c r="W31" s="14">
        <v>1</v>
      </c>
      <c r="X31" s="14">
        <v>2</v>
      </c>
      <c r="Y31" s="14">
        <v>4</v>
      </c>
      <c r="Z31" s="1">
        <v>0</v>
      </c>
      <c r="AA31" s="20">
        <v>1.011</v>
      </c>
      <c r="AB31" s="1">
        <v>11.4</v>
      </c>
      <c r="AC31" s="1">
        <v>128</v>
      </c>
      <c r="AD31" s="1">
        <v>5.96</v>
      </c>
      <c r="AE31" s="7">
        <v>0.403</v>
      </c>
      <c r="AF31" s="8">
        <v>93.9</v>
      </c>
      <c r="AG31" s="1">
        <v>318</v>
      </c>
      <c r="AH31" s="8">
        <v>12.9</v>
      </c>
      <c r="AI31" s="8">
        <v>37.3</v>
      </c>
      <c r="AJ31" s="9">
        <v>3.27</v>
      </c>
      <c r="AK31" s="8">
        <v>44.6</v>
      </c>
      <c r="AL31" s="9">
        <v>10.4</v>
      </c>
      <c r="AM31" s="8">
        <v>2.4</v>
      </c>
      <c r="AN31" s="9">
        <v>17.3</v>
      </c>
      <c r="AO31" s="8">
        <v>16.8</v>
      </c>
      <c r="AP31" s="9">
        <v>4.32</v>
      </c>
      <c r="AQ31" s="1">
        <v>2.78</v>
      </c>
      <c r="AR31" s="8">
        <v>65.3</v>
      </c>
      <c r="AS31" s="8">
        <v>248.1</v>
      </c>
      <c r="AT31" s="9">
        <v>4.08</v>
      </c>
      <c r="AU31" s="9">
        <v>1.63</v>
      </c>
      <c r="AV31" s="9">
        <v>2.37</v>
      </c>
      <c r="AW31" s="9">
        <v>1.3</v>
      </c>
      <c r="AX31" s="9">
        <v>4.29</v>
      </c>
      <c r="AY31" s="8">
        <v>143.8</v>
      </c>
      <c r="AZ31" s="8">
        <v>28.1</v>
      </c>
      <c r="BA31" s="9">
        <v>1.31</v>
      </c>
      <c r="BB31" s="9">
        <v>2.3</v>
      </c>
      <c r="BC31" s="8">
        <v>180.1</v>
      </c>
      <c r="BD31" s="10">
        <v>921</v>
      </c>
      <c r="BE31" s="10">
        <v>1</v>
      </c>
    </row>
    <row r="32" ht="15.6" spans="1:57">
      <c r="A32" s="14">
        <v>31</v>
      </c>
      <c r="B32" s="14" t="s">
        <v>86</v>
      </c>
      <c r="C32" s="15">
        <v>0</v>
      </c>
      <c r="D32" s="14">
        <v>2</v>
      </c>
      <c r="E32" s="14">
        <v>64</v>
      </c>
      <c r="F32" s="14">
        <v>1</v>
      </c>
      <c r="G32" s="14">
        <v>0</v>
      </c>
      <c r="H32" s="14">
        <v>156</v>
      </c>
      <c r="I32" s="14">
        <v>70</v>
      </c>
      <c r="J32" s="19">
        <f t="shared" si="0"/>
        <v>28.7639710716634</v>
      </c>
      <c r="K32" s="14">
        <v>0.458</v>
      </c>
      <c r="L32" s="14">
        <v>0.417</v>
      </c>
      <c r="M32" s="14">
        <v>0.086</v>
      </c>
      <c r="N32" s="14">
        <v>233</v>
      </c>
      <c r="O32" s="20">
        <f t="shared" si="1"/>
        <v>0.0944556354916067</v>
      </c>
      <c r="P32" s="20">
        <f t="shared" si="2"/>
        <v>1.09832134292566</v>
      </c>
      <c r="Q32" s="20">
        <f t="shared" si="3"/>
        <v>0.0144973028571429</v>
      </c>
      <c r="R32" s="20">
        <f t="shared" si="4"/>
        <v>2.22857142857143</v>
      </c>
      <c r="S32" s="23">
        <v>1</v>
      </c>
      <c r="T32" s="14">
        <v>2</v>
      </c>
      <c r="U32" s="14">
        <v>2</v>
      </c>
      <c r="V32" s="14">
        <v>0</v>
      </c>
      <c r="W32" s="14">
        <v>0</v>
      </c>
      <c r="X32" s="14">
        <v>3</v>
      </c>
      <c r="Y32" s="14">
        <v>2</v>
      </c>
      <c r="Z32" s="14">
        <v>0</v>
      </c>
      <c r="AA32" s="20">
        <v>1.011</v>
      </c>
      <c r="AB32" s="1">
        <v>5.9</v>
      </c>
      <c r="AC32" s="1">
        <v>134</v>
      </c>
      <c r="AD32" s="1">
        <v>3.84</v>
      </c>
      <c r="AE32" s="7">
        <v>0.404</v>
      </c>
      <c r="AF32" s="8">
        <v>97.8</v>
      </c>
      <c r="AG32" s="1">
        <v>332</v>
      </c>
      <c r="AH32" s="8">
        <v>9.8</v>
      </c>
      <c r="AI32" s="8">
        <v>36.6</v>
      </c>
      <c r="AJ32" s="9">
        <v>3.43</v>
      </c>
      <c r="AK32" s="8">
        <v>39.5</v>
      </c>
      <c r="AL32" s="8">
        <v>11.5</v>
      </c>
      <c r="AM32" s="8">
        <v>3.1</v>
      </c>
      <c r="AN32" s="9">
        <v>17.3</v>
      </c>
      <c r="AO32" s="8">
        <v>29.1</v>
      </c>
      <c r="AP32" s="9">
        <v>4.82</v>
      </c>
      <c r="AQ32" s="1">
        <v>3.55</v>
      </c>
      <c r="AR32" s="8">
        <v>61.6</v>
      </c>
      <c r="AS32" s="8">
        <v>300.5</v>
      </c>
      <c r="AT32" s="9">
        <v>4.8</v>
      </c>
      <c r="AU32" s="9">
        <v>0.78</v>
      </c>
      <c r="AV32" s="9">
        <v>2.28</v>
      </c>
      <c r="AW32" s="9">
        <v>1.26</v>
      </c>
      <c r="AX32" s="9">
        <v>4.27</v>
      </c>
      <c r="AY32" s="8">
        <v>139.3</v>
      </c>
      <c r="AZ32" s="8">
        <v>26.3</v>
      </c>
      <c r="BA32" s="9">
        <v>1.44</v>
      </c>
      <c r="BB32" s="9">
        <v>3.1</v>
      </c>
      <c r="BC32" s="8">
        <v>163.1</v>
      </c>
      <c r="BD32" s="10">
        <v>2773</v>
      </c>
      <c r="BE32" s="10">
        <v>0</v>
      </c>
    </row>
    <row r="33" ht="15.6" spans="1:57">
      <c r="A33" s="14">
        <v>32</v>
      </c>
      <c r="B33" s="14" t="s">
        <v>87</v>
      </c>
      <c r="C33" s="15">
        <v>0</v>
      </c>
      <c r="D33" s="14">
        <v>2</v>
      </c>
      <c r="E33" s="14">
        <v>53</v>
      </c>
      <c r="F33" s="14">
        <v>0</v>
      </c>
      <c r="G33" s="14">
        <v>0</v>
      </c>
      <c r="H33" s="14">
        <v>163</v>
      </c>
      <c r="I33" s="14">
        <v>66</v>
      </c>
      <c r="J33" s="19">
        <f t="shared" si="0"/>
        <v>24.8409800895781</v>
      </c>
      <c r="K33" s="14">
        <v>0.504</v>
      </c>
      <c r="L33" s="14">
        <v>0.406</v>
      </c>
      <c r="M33" s="14">
        <v>0.063</v>
      </c>
      <c r="N33" s="14">
        <v>239</v>
      </c>
      <c r="O33" s="20">
        <f t="shared" si="1"/>
        <v>0.0782068965517241</v>
      </c>
      <c r="P33" s="20">
        <f t="shared" si="2"/>
        <v>1.24137931034483</v>
      </c>
      <c r="Q33" s="20">
        <f t="shared" si="3"/>
        <v>0.0163439606060606</v>
      </c>
      <c r="R33" s="20">
        <f t="shared" si="4"/>
        <v>2.46969696969697</v>
      </c>
      <c r="S33" s="23">
        <v>1</v>
      </c>
      <c r="T33" s="14">
        <v>1</v>
      </c>
      <c r="U33" s="14">
        <v>1</v>
      </c>
      <c r="V33" s="14">
        <v>0</v>
      </c>
      <c r="W33" s="14">
        <v>0</v>
      </c>
      <c r="X33" s="14">
        <v>3</v>
      </c>
      <c r="Y33" s="14">
        <v>1</v>
      </c>
      <c r="Z33" s="14">
        <v>0</v>
      </c>
      <c r="AA33" s="20">
        <v>1.014</v>
      </c>
      <c r="AB33" s="1">
        <v>0.6</v>
      </c>
      <c r="AC33" s="1">
        <v>123</v>
      </c>
      <c r="AD33" s="1">
        <v>3.98</v>
      </c>
      <c r="AE33" s="7">
        <v>0.368</v>
      </c>
      <c r="AF33" s="8">
        <v>91.1</v>
      </c>
      <c r="AG33" s="1">
        <v>335</v>
      </c>
      <c r="AH33" s="8">
        <v>9.1</v>
      </c>
      <c r="AI33" s="8">
        <v>39.4</v>
      </c>
      <c r="AJ33" s="9">
        <v>3.4</v>
      </c>
      <c r="AK33" s="8">
        <v>39.5</v>
      </c>
      <c r="AL33" s="8">
        <v>5.7</v>
      </c>
      <c r="AM33" s="8">
        <v>1.3</v>
      </c>
      <c r="AN33" s="9">
        <v>7.9</v>
      </c>
      <c r="AO33" s="8">
        <v>11.6</v>
      </c>
      <c r="AP33" s="9">
        <v>4.85</v>
      </c>
      <c r="AQ33" s="1">
        <v>5.16</v>
      </c>
      <c r="AR33" s="8">
        <v>82.4</v>
      </c>
      <c r="AS33" s="8">
        <v>240.1</v>
      </c>
      <c r="AT33" s="9">
        <v>5.11</v>
      </c>
      <c r="AU33" s="9">
        <v>1.45</v>
      </c>
      <c r="AV33" s="9">
        <v>2.38</v>
      </c>
      <c r="AW33" s="9">
        <v>1.23</v>
      </c>
      <c r="AX33" s="9">
        <v>4.33</v>
      </c>
      <c r="AY33" s="8">
        <v>144.1</v>
      </c>
      <c r="AZ33" s="8">
        <v>27</v>
      </c>
      <c r="BA33" s="9">
        <v>1.3</v>
      </c>
      <c r="BB33" s="9">
        <v>3.31</v>
      </c>
      <c r="BC33" s="8">
        <v>164.5</v>
      </c>
      <c r="BD33" s="10">
        <v>2758</v>
      </c>
      <c r="BE33" s="32">
        <v>0</v>
      </c>
    </row>
    <row r="34" ht="15.6" spans="1:57">
      <c r="A34" s="14">
        <v>33</v>
      </c>
      <c r="B34" s="14" t="s">
        <v>88</v>
      </c>
      <c r="C34" s="15">
        <v>1</v>
      </c>
      <c r="D34" s="14">
        <v>1</v>
      </c>
      <c r="E34" s="14">
        <v>56</v>
      </c>
      <c r="F34" s="14">
        <v>0</v>
      </c>
      <c r="G34" s="14">
        <v>0</v>
      </c>
      <c r="H34" s="14">
        <v>175</v>
      </c>
      <c r="I34" s="14">
        <v>72</v>
      </c>
      <c r="J34" s="19">
        <f t="shared" si="0"/>
        <v>23.5102040816327</v>
      </c>
      <c r="K34" s="14">
        <v>0.602</v>
      </c>
      <c r="L34" s="14">
        <v>0.321</v>
      </c>
      <c r="M34" s="14">
        <v>0.063</v>
      </c>
      <c r="N34" s="14">
        <v>222</v>
      </c>
      <c r="O34" s="20">
        <f t="shared" si="1"/>
        <v>0.11814953271028</v>
      </c>
      <c r="P34" s="20">
        <f t="shared" si="2"/>
        <v>1.87538940809969</v>
      </c>
      <c r="Q34" s="20">
        <f t="shared" si="3"/>
        <v>0.0136536458333333</v>
      </c>
      <c r="R34" s="20">
        <f t="shared" si="4"/>
        <v>2.43055555555556</v>
      </c>
      <c r="S34" s="23">
        <v>4</v>
      </c>
      <c r="T34" s="14">
        <v>1</v>
      </c>
      <c r="U34" s="14">
        <v>3</v>
      </c>
      <c r="V34" s="14">
        <v>1</v>
      </c>
      <c r="W34" s="14">
        <v>1</v>
      </c>
      <c r="X34" s="14">
        <v>1</v>
      </c>
      <c r="Y34" s="14">
        <v>4</v>
      </c>
      <c r="Z34" s="14">
        <v>1</v>
      </c>
      <c r="AA34" s="20">
        <v>1.012</v>
      </c>
      <c r="AB34" s="1">
        <v>2.1</v>
      </c>
      <c r="AC34" s="1">
        <v>137</v>
      </c>
      <c r="AD34" s="1">
        <v>4.27</v>
      </c>
      <c r="AE34" s="7">
        <v>0.41</v>
      </c>
      <c r="AF34" s="8">
        <v>95.6</v>
      </c>
      <c r="AG34" s="1">
        <v>334</v>
      </c>
      <c r="AH34" s="8">
        <v>10</v>
      </c>
      <c r="AI34" s="8">
        <v>42.2</v>
      </c>
      <c r="AJ34" s="9">
        <v>3.62</v>
      </c>
      <c r="AK34" s="8">
        <v>44</v>
      </c>
      <c r="AL34" s="8">
        <v>9.4</v>
      </c>
      <c r="AM34" s="8">
        <v>2.6</v>
      </c>
      <c r="AN34" s="9">
        <v>12.3</v>
      </c>
      <c r="AO34" s="8">
        <v>70.3</v>
      </c>
      <c r="AP34" s="9">
        <v>6</v>
      </c>
      <c r="AQ34" s="9">
        <v>4</v>
      </c>
      <c r="AR34" s="8">
        <v>78.44</v>
      </c>
      <c r="AS34" s="8">
        <v>341.6</v>
      </c>
      <c r="AT34" s="9">
        <v>5.32</v>
      </c>
      <c r="AU34" s="9">
        <v>1.28</v>
      </c>
      <c r="AV34" s="9">
        <v>2.3</v>
      </c>
      <c r="AW34" s="9">
        <v>1.15</v>
      </c>
      <c r="AX34" s="9">
        <v>3.54</v>
      </c>
      <c r="AY34" s="8">
        <v>143.9</v>
      </c>
      <c r="AZ34" s="8">
        <v>29.2</v>
      </c>
      <c r="BA34" s="9">
        <v>0.99</v>
      </c>
      <c r="BB34" s="9">
        <v>3.8</v>
      </c>
      <c r="BC34" s="8">
        <v>182.9</v>
      </c>
      <c r="BD34" s="10">
        <v>1021</v>
      </c>
      <c r="BE34" s="10">
        <v>1</v>
      </c>
    </row>
    <row r="35" ht="15.6" spans="1:57">
      <c r="A35" s="14">
        <v>34</v>
      </c>
      <c r="B35" s="14" t="s">
        <v>89</v>
      </c>
      <c r="C35" s="15">
        <v>0</v>
      </c>
      <c r="D35" s="14">
        <v>1</v>
      </c>
      <c r="E35" s="14">
        <v>61</v>
      </c>
      <c r="F35" s="14">
        <v>0</v>
      </c>
      <c r="G35" s="14">
        <v>0</v>
      </c>
      <c r="H35" s="14">
        <v>165</v>
      </c>
      <c r="I35" s="14">
        <v>64</v>
      </c>
      <c r="J35" s="19">
        <f t="shared" si="0"/>
        <v>23.5078053259871</v>
      </c>
      <c r="K35" s="14">
        <v>0.539</v>
      </c>
      <c r="L35" s="14">
        <v>0.397</v>
      </c>
      <c r="M35" s="14">
        <v>0.042</v>
      </c>
      <c r="N35" s="14">
        <v>161</v>
      </c>
      <c r="O35" s="20">
        <f t="shared" si="1"/>
        <v>0.0570226700251889</v>
      </c>
      <c r="P35" s="20">
        <f t="shared" si="2"/>
        <v>1.35768261964736</v>
      </c>
      <c r="Q35" s="20">
        <f t="shared" si="3"/>
        <v>0.0168880078125</v>
      </c>
      <c r="R35" s="20">
        <f t="shared" si="4"/>
        <v>2.578125</v>
      </c>
      <c r="S35" s="23">
        <v>1</v>
      </c>
      <c r="T35" s="14">
        <v>2</v>
      </c>
      <c r="U35" s="14">
        <v>3</v>
      </c>
      <c r="V35" s="14">
        <v>0</v>
      </c>
      <c r="W35" s="14">
        <v>0</v>
      </c>
      <c r="X35" s="14">
        <v>3</v>
      </c>
      <c r="Y35" s="14">
        <v>3</v>
      </c>
      <c r="Z35" s="14">
        <v>1</v>
      </c>
      <c r="AA35" s="20">
        <v>1.019</v>
      </c>
      <c r="AB35" s="1">
        <v>6.1</v>
      </c>
      <c r="AC35" s="1">
        <v>165</v>
      </c>
      <c r="AD35" s="1">
        <v>5.99</v>
      </c>
      <c r="AE35" s="7">
        <v>0.502</v>
      </c>
      <c r="AF35" s="8">
        <v>93.5</v>
      </c>
      <c r="AG35" s="1">
        <v>329</v>
      </c>
      <c r="AH35" s="8">
        <v>11</v>
      </c>
      <c r="AI35" s="8">
        <v>33.3</v>
      </c>
      <c r="AJ35" s="9">
        <v>3.9</v>
      </c>
      <c r="AK35" s="8">
        <v>39.9</v>
      </c>
      <c r="AL35" s="8">
        <v>10.8</v>
      </c>
      <c r="AM35" s="8">
        <v>2.4</v>
      </c>
      <c r="AN35" s="9">
        <v>19.4</v>
      </c>
      <c r="AO35" s="8">
        <v>16.5</v>
      </c>
      <c r="AP35" s="9">
        <v>4.28</v>
      </c>
      <c r="AQ35" s="1">
        <v>7.67</v>
      </c>
      <c r="AR35" s="8">
        <v>108.4</v>
      </c>
      <c r="AS35" s="8">
        <v>388.5</v>
      </c>
      <c r="AT35" s="9">
        <v>4.86</v>
      </c>
      <c r="AU35" s="9">
        <v>1.44</v>
      </c>
      <c r="AV35" s="9">
        <v>2.26</v>
      </c>
      <c r="AW35" s="9">
        <v>0.94</v>
      </c>
      <c r="AX35" s="9">
        <v>4.29</v>
      </c>
      <c r="AY35" s="8">
        <v>142.8</v>
      </c>
      <c r="AZ35" s="8">
        <v>27.1</v>
      </c>
      <c r="BA35" s="9">
        <v>1.09</v>
      </c>
      <c r="BB35" s="9">
        <v>3.4</v>
      </c>
      <c r="BC35" s="8">
        <v>160.3</v>
      </c>
      <c r="BD35" s="10">
        <v>2751</v>
      </c>
      <c r="BE35" s="10">
        <v>0</v>
      </c>
    </row>
    <row r="36" ht="15.6" spans="1:57">
      <c r="A36" s="14">
        <v>35</v>
      </c>
      <c r="B36" s="14" t="s">
        <v>90</v>
      </c>
      <c r="C36" s="15">
        <v>0</v>
      </c>
      <c r="D36" s="14">
        <v>2</v>
      </c>
      <c r="E36" s="14">
        <v>61</v>
      </c>
      <c r="F36" s="14">
        <v>0</v>
      </c>
      <c r="G36" s="14">
        <v>0</v>
      </c>
      <c r="H36" s="14">
        <v>160</v>
      </c>
      <c r="I36" s="14">
        <v>50</v>
      </c>
      <c r="J36" s="19">
        <f t="shared" si="0"/>
        <v>19.53125</v>
      </c>
      <c r="K36" s="14">
        <v>0.458</v>
      </c>
      <c r="L36" s="14">
        <v>0.406</v>
      </c>
      <c r="M36" s="14">
        <v>0.103</v>
      </c>
      <c r="N36" s="14">
        <v>193</v>
      </c>
      <c r="O36" s="20">
        <f t="shared" si="1"/>
        <v>0.116192118226601</v>
      </c>
      <c r="P36" s="20">
        <f t="shared" si="2"/>
        <v>1.12807881773399</v>
      </c>
      <c r="Q36" s="20">
        <f t="shared" si="3"/>
        <v>0.0207872</v>
      </c>
      <c r="R36" s="20">
        <f t="shared" si="4"/>
        <v>3.2</v>
      </c>
      <c r="S36" s="23">
        <v>1</v>
      </c>
      <c r="T36" s="14">
        <v>1</v>
      </c>
      <c r="U36" s="14">
        <v>2</v>
      </c>
      <c r="V36" s="14">
        <v>0</v>
      </c>
      <c r="W36" s="14">
        <v>0</v>
      </c>
      <c r="X36" s="14">
        <v>2</v>
      </c>
      <c r="Y36" s="14">
        <v>2</v>
      </c>
      <c r="Z36" s="1">
        <v>0</v>
      </c>
      <c r="AA36" s="20">
        <v>1.01</v>
      </c>
      <c r="AB36" s="1">
        <v>11.5</v>
      </c>
      <c r="AC36" s="1">
        <v>116</v>
      </c>
      <c r="AD36" s="9">
        <v>3.1</v>
      </c>
      <c r="AE36" s="7">
        <v>0.357</v>
      </c>
      <c r="AF36" s="8">
        <v>87.9</v>
      </c>
      <c r="AG36" s="1">
        <v>325</v>
      </c>
      <c r="AH36" s="8">
        <v>11.4</v>
      </c>
      <c r="AI36" s="8">
        <v>39.1</v>
      </c>
      <c r="AJ36" s="9">
        <v>2.89</v>
      </c>
      <c r="AK36" s="8">
        <v>39.5</v>
      </c>
      <c r="AL36" s="8">
        <v>15.5</v>
      </c>
      <c r="AM36" s="8">
        <v>4.3</v>
      </c>
      <c r="AN36" s="9">
        <v>10.8</v>
      </c>
      <c r="AO36" s="8">
        <v>23.4</v>
      </c>
      <c r="AP36" s="9">
        <v>4.56</v>
      </c>
      <c r="AQ36" s="1">
        <v>4.69</v>
      </c>
      <c r="AR36" s="8">
        <v>61</v>
      </c>
      <c r="AS36" s="8">
        <v>208.2</v>
      </c>
      <c r="AT36" s="9">
        <v>4.61</v>
      </c>
      <c r="AU36" s="9">
        <v>0.5</v>
      </c>
      <c r="AV36" s="9">
        <v>2.33</v>
      </c>
      <c r="AW36" s="9">
        <v>1.38</v>
      </c>
      <c r="AX36" s="9">
        <v>4.09</v>
      </c>
      <c r="AY36" s="8">
        <v>143.5</v>
      </c>
      <c r="AZ36" s="8">
        <v>26.3</v>
      </c>
      <c r="BA36" s="9">
        <v>2.04</v>
      </c>
      <c r="BB36" s="9">
        <v>2.45</v>
      </c>
      <c r="BC36" s="8">
        <v>233.2</v>
      </c>
      <c r="BD36" s="10">
        <v>2745</v>
      </c>
      <c r="BE36" s="10">
        <v>0</v>
      </c>
    </row>
    <row r="37" ht="15.6" spans="1:57">
      <c r="A37" s="14">
        <v>36</v>
      </c>
      <c r="B37" s="14" t="s">
        <v>91</v>
      </c>
      <c r="C37" s="15">
        <v>0</v>
      </c>
      <c r="D37" s="14">
        <v>1</v>
      </c>
      <c r="E37" s="14">
        <v>67</v>
      </c>
      <c r="F37" s="14">
        <v>0</v>
      </c>
      <c r="G37" s="14">
        <v>0</v>
      </c>
      <c r="H37" s="14">
        <v>160</v>
      </c>
      <c r="I37" s="14">
        <v>62</v>
      </c>
      <c r="J37" s="19">
        <f t="shared" si="0"/>
        <v>24.21875</v>
      </c>
      <c r="K37" s="14">
        <v>0.517</v>
      </c>
      <c r="L37" s="14">
        <v>0.354</v>
      </c>
      <c r="M37" s="14">
        <v>0.1</v>
      </c>
      <c r="N37" s="14">
        <v>159</v>
      </c>
      <c r="O37" s="20">
        <f t="shared" si="1"/>
        <v>0.146045197740113</v>
      </c>
      <c r="P37" s="20">
        <f t="shared" si="2"/>
        <v>1.46045197740113</v>
      </c>
      <c r="Q37" s="20">
        <f t="shared" si="3"/>
        <v>0.0146167741935484</v>
      </c>
      <c r="R37" s="20">
        <f t="shared" si="4"/>
        <v>2.58064516129032</v>
      </c>
      <c r="S37" s="23">
        <v>1</v>
      </c>
      <c r="T37" s="14">
        <v>1</v>
      </c>
      <c r="U37" s="14">
        <v>1</v>
      </c>
      <c r="V37" s="14">
        <v>0</v>
      </c>
      <c r="W37" s="14">
        <v>0</v>
      </c>
      <c r="X37" s="14">
        <v>2</v>
      </c>
      <c r="Y37" s="14">
        <v>1</v>
      </c>
      <c r="Z37" s="1">
        <v>0</v>
      </c>
      <c r="AA37" s="20">
        <v>1.021</v>
      </c>
      <c r="AB37" s="8">
        <v>8</v>
      </c>
      <c r="AC37" s="1">
        <v>139</v>
      </c>
      <c r="AD37" s="9">
        <v>3.81</v>
      </c>
      <c r="AE37" s="7">
        <v>0.403</v>
      </c>
      <c r="AF37" s="8">
        <v>94.2</v>
      </c>
      <c r="AG37" s="1">
        <v>345</v>
      </c>
      <c r="AH37" s="8">
        <v>9.1</v>
      </c>
      <c r="AI37" s="8">
        <v>34</v>
      </c>
      <c r="AJ37" s="9">
        <v>3.57</v>
      </c>
      <c r="AK37" s="8">
        <v>39</v>
      </c>
      <c r="AL37" s="8">
        <v>12.2</v>
      </c>
      <c r="AM37" s="8">
        <v>3.3</v>
      </c>
      <c r="AN37" s="9">
        <v>20</v>
      </c>
      <c r="AO37" s="8">
        <v>12.9</v>
      </c>
      <c r="AP37" s="9">
        <v>4.84</v>
      </c>
      <c r="AQ37" s="1">
        <v>4.84</v>
      </c>
      <c r="AR37" s="8">
        <v>104.2</v>
      </c>
      <c r="AS37" s="8">
        <v>383.9</v>
      </c>
      <c r="AT37" s="9">
        <v>4.21</v>
      </c>
      <c r="AU37" s="9">
        <v>0.65</v>
      </c>
      <c r="AV37" s="9">
        <v>2.18</v>
      </c>
      <c r="AW37" s="9">
        <v>1.3</v>
      </c>
      <c r="AX37" s="9">
        <v>4.05</v>
      </c>
      <c r="AY37" s="8">
        <v>144.2</v>
      </c>
      <c r="AZ37" s="8">
        <v>27.2</v>
      </c>
      <c r="BA37" s="9">
        <v>1.29</v>
      </c>
      <c r="BB37" s="9">
        <v>3.05</v>
      </c>
      <c r="BC37" s="8">
        <v>157.5</v>
      </c>
      <c r="BD37" s="10">
        <v>2713</v>
      </c>
      <c r="BE37" s="10">
        <v>0</v>
      </c>
    </row>
    <row r="38" ht="15.6" spans="1:57">
      <c r="A38" s="14">
        <v>37</v>
      </c>
      <c r="B38" s="14" t="s">
        <v>92</v>
      </c>
      <c r="C38" s="15">
        <v>1</v>
      </c>
      <c r="D38" s="14">
        <v>1</v>
      </c>
      <c r="E38" s="14">
        <v>62</v>
      </c>
      <c r="F38" s="14">
        <v>0</v>
      </c>
      <c r="G38" s="14">
        <v>1</v>
      </c>
      <c r="H38" s="14">
        <v>160</v>
      </c>
      <c r="I38" s="14">
        <v>58</v>
      </c>
      <c r="J38" s="19">
        <f t="shared" si="0"/>
        <v>22.65625</v>
      </c>
      <c r="K38" s="20">
        <v>0.61</v>
      </c>
      <c r="L38" s="14">
        <v>0.251</v>
      </c>
      <c r="M38" s="14">
        <v>0.061</v>
      </c>
      <c r="N38" s="14">
        <v>240</v>
      </c>
      <c r="O38" s="20">
        <f t="shared" si="1"/>
        <v>0.148247011952191</v>
      </c>
      <c r="P38" s="20">
        <f t="shared" si="2"/>
        <v>2.43027888446215</v>
      </c>
      <c r="Q38" s="20">
        <f t="shared" si="3"/>
        <v>0.0110786206896552</v>
      </c>
      <c r="R38" s="20">
        <f t="shared" si="4"/>
        <v>2.75862068965517</v>
      </c>
      <c r="S38" s="23">
        <v>1</v>
      </c>
      <c r="T38" s="14">
        <v>2</v>
      </c>
      <c r="U38" s="14">
        <v>2</v>
      </c>
      <c r="V38" s="14">
        <v>0</v>
      </c>
      <c r="W38" s="14">
        <v>0</v>
      </c>
      <c r="X38" s="14">
        <v>1</v>
      </c>
      <c r="Y38" s="14">
        <v>2</v>
      </c>
      <c r="Z38" s="14">
        <v>0</v>
      </c>
      <c r="AA38" s="20">
        <v>1.025</v>
      </c>
      <c r="AB38" s="1">
        <v>3.7</v>
      </c>
      <c r="AC38" s="1">
        <v>146</v>
      </c>
      <c r="AD38" s="9">
        <v>7.9</v>
      </c>
      <c r="AE38" s="7">
        <v>0.44</v>
      </c>
      <c r="AF38" s="8">
        <v>90.9</v>
      </c>
      <c r="AG38" s="1">
        <v>332</v>
      </c>
      <c r="AH38" s="8">
        <v>8.7</v>
      </c>
      <c r="AI38" s="8">
        <v>41.1</v>
      </c>
      <c r="AJ38" s="9">
        <v>3.96</v>
      </c>
      <c r="AK38" s="8">
        <v>42.3</v>
      </c>
      <c r="AL38" s="8">
        <v>7.2</v>
      </c>
      <c r="AM38" s="8">
        <v>2.2</v>
      </c>
      <c r="AN38" s="9">
        <v>8.68</v>
      </c>
      <c r="AO38" s="8">
        <v>52.3</v>
      </c>
      <c r="AP38" s="9">
        <v>6.62</v>
      </c>
      <c r="AQ38" s="1">
        <v>8.27</v>
      </c>
      <c r="AR38" s="8">
        <v>89.1</v>
      </c>
      <c r="AS38" s="8">
        <v>231.4</v>
      </c>
      <c r="AT38" s="9">
        <v>4.08</v>
      </c>
      <c r="AU38" s="9">
        <v>1.13</v>
      </c>
      <c r="AV38" s="9">
        <v>2.27</v>
      </c>
      <c r="AW38" s="9">
        <v>1.07</v>
      </c>
      <c r="AX38" s="9">
        <v>4.23</v>
      </c>
      <c r="AY38" s="8">
        <v>142.6</v>
      </c>
      <c r="AZ38" s="8">
        <v>29.2</v>
      </c>
      <c r="BA38" s="9">
        <v>1.02</v>
      </c>
      <c r="BB38" s="9">
        <v>2.8</v>
      </c>
      <c r="BC38" s="8">
        <v>212.9</v>
      </c>
      <c r="BD38" s="10">
        <v>2710</v>
      </c>
      <c r="BE38" s="10">
        <v>0</v>
      </c>
    </row>
    <row r="39" ht="15.6" spans="1:57">
      <c r="A39" s="14">
        <v>38</v>
      </c>
      <c r="B39" s="14" t="s">
        <v>93</v>
      </c>
      <c r="C39" s="15">
        <v>0</v>
      </c>
      <c r="D39" s="14">
        <v>2</v>
      </c>
      <c r="E39" s="14">
        <v>45</v>
      </c>
      <c r="F39" s="14">
        <v>0</v>
      </c>
      <c r="G39" s="14">
        <v>0</v>
      </c>
      <c r="H39" s="14">
        <v>160</v>
      </c>
      <c r="I39" s="14">
        <v>50</v>
      </c>
      <c r="J39" s="19">
        <f t="shared" si="0"/>
        <v>19.53125</v>
      </c>
      <c r="K39" s="14">
        <v>0.459</v>
      </c>
      <c r="L39" s="14">
        <v>0.416</v>
      </c>
      <c r="M39" s="14">
        <v>0.109</v>
      </c>
      <c r="N39" s="14">
        <v>328</v>
      </c>
      <c r="O39" s="20">
        <f t="shared" si="1"/>
        <v>0.120266826923077</v>
      </c>
      <c r="P39" s="20">
        <f t="shared" si="2"/>
        <v>1.10336538461538</v>
      </c>
      <c r="Q39" s="20">
        <f t="shared" si="3"/>
        <v>0.0212992</v>
      </c>
      <c r="R39" s="20">
        <f t="shared" si="4"/>
        <v>3.2</v>
      </c>
      <c r="S39" s="23">
        <v>1</v>
      </c>
      <c r="T39" s="14">
        <v>1</v>
      </c>
      <c r="U39" s="14">
        <v>2</v>
      </c>
      <c r="V39" s="14">
        <v>0</v>
      </c>
      <c r="W39" s="14">
        <v>0</v>
      </c>
      <c r="X39" s="14">
        <v>3</v>
      </c>
      <c r="Y39" s="14">
        <v>2</v>
      </c>
      <c r="Z39" s="1">
        <v>0</v>
      </c>
      <c r="AA39" s="20">
        <v>1.011</v>
      </c>
      <c r="AB39" s="1">
        <v>3.8</v>
      </c>
      <c r="AC39" s="1">
        <v>125</v>
      </c>
      <c r="AD39" s="1">
        <v>8.13</v>
      </c>
      <c r="AE39" s="7">
        <v>0.374</v>
      </c>
      <c r="AF39" s="8">
        <v>92.1</v>
      </c>
      <c r="AG39" s="1">
        <v>334</v>
      </c>
      <c r="AH39" s="8">
        <v>9.6</v>
      </c>
      <c r="AI39" s="8">
        <v>34.8</v>
      </c>
      <c r="AJ39" s="9">
        <v>2.76</v>
      </c>
      <c r="AK39" s="8">
        <v>38.7</v>
      </c>
      <c r="AL39" s="8">
        <v>6.6</v>
      </c>
      <c r="AM39" s="8">
        <v>2.4</v>
      </c>
      <c r="AN39" s="9">
        <v>8</v>
      </c>
      <c r="AO39" s="8">
        <v>22.6</v>
      </c>
      <c r="AP39" s="9">
        <v>4.6</v>
      </c>
      <c r="AQ39" s="1">
        <v>4.62</v>
      </c>
      <c r="AR39" s="8">
        <v>70.7</v>
      </c>
      <c r="AS39" s="8">
        <v>235.3</v>
      </c>
      <c r="AT39" s="9">
        <v>3.9</v>
      </c>
      <c r="AU39" s="9">
        <v>1.8</v>
      </c>
      <c r="AV39" s="9">
        <v>2.2</v>
      </c>
      <c r="AW39" s="9">
        <v>1.35</v>
      </c>
      <c r="AX39" s="9">
        <v>3.8</v>
      </c>
      <c r="AY39" s="8">
        <v>143.7</v>
      </c>
      <c r="AZ39" s="8">
        <v>24.6</v>
      </c>
      <c r="BA39" s="9">
        <v>1.01</v>
      </c>
      <c r="BB39" s="9">
        <v>2.58</v>
      </c>
      <c r="BC39" s="8">
        <v>149.2</v>
      </c>
      <c r="BD39" s="31">
        <v>2706</v>
      </c>
      <c r="BE39" s="31">
        <v>0</v>
      </c>
    </row>
    <row r="40" ht="15.6" spans="1:57">
      <c r="A40" s="14">
        <v>39</v>
      </c>
      <c r="B40" s="14" t="s">
        <v>94</v>
      </c>
      <c r="C40" s="16">
        <v>1</v>
      </c>
      <c r="D40" s="14">
        <v>1</v>
      </c>
      <c r="E40" s="14">
        <v>64</v>
      </c>
      <c r="F40" s="14">
        <v>1</v>
      </c>
      <c r="G40" s="14">
        <v>0</v>
      </c>
      <c r="H40" s="14">
        <v>160</v>
      </c>
      <c r="I40" s="14">
        <v>70</v>
      </c>
      <c r="J40" s="19">
        <f t="shared" si="0"/>
        <v>27.34375</v>
      </c>
      <c r="K40" s="14">
        <v>0.635</v>
      </c>
      <c r="L40" s="14">
        <v>0.256</v>
      </c>
      <c r="M40" s="14">
        <v>0.089</v>
      </c>
      <c r="N40" s="14">
        <v>186</v>
      </c>
      <c r="O40" s="20">
        <f t="shared" si="1"/>
        <v>0.22076171875</v>
      </c>
      <c r="P40" s="20">
        <f t="shared" si="2"/>
        <v>2.48046875</v>
      </c>
      <c r="Q40" s="20">
        <f t="shared" si="3"/>
        <v>0.00936228571428572</v>
      </c>
      <c r="R40" s="20">
        <f t="shared" si="4"/>
        <v>2.28571428571429</v>
      </c>
      <c r="S40" s="23">
        <v>1</v>
      </c>
      <c r="T40" s="14">
        <v>1</v>
      </c>
      <c r="U40" s="14">
        <v>3</v>
      </c>
      <c r="V40" s="14">
        <v>0</v>
      </c>
      <c r="W40" s="14">
        <v>0</v>
      </c>
      <c r="X40" s="14">
        <v>2</v>
      </c>
      <c r="Y40" s="14">
        <v>3</v>
      </c>
      <c r="Z40" s="14">
        <v>1</v>
      </c>
      <c r="AA40" s="20">
        <v>1.015</v>
      </c>
      <c r="AB40" s="1">
        <v>1.6</v>
      </c>
      <c r="AC40" s="1">
        <v>170</v>
      </c>
      <c r="AD40" s="9">
        <v>6.2</v>
      </c>
      <c r="AE40" s="7">
        <v>0.49</v>
      </c>
      <c r="AF40" s="8">
        <v>98.8</v>
      </c>
      <c r="AG40" s="1">
        <v>347</v>
      </c>
      <c r="AH40" s="8">
        <v>11.9</v>
      </c>
      <c r="AI40" s="8">
        <v>40.3</v>
      </c>
      <c r="AJ40" s="9">
        <v>4.62</v>
      </c>
      <c r="AK40" s="8">
        <v>47.4</v>
      </c>
      <c r="AL40" s="8">
        <v>47.4</v>
      </c>
      <c r="AM40" s="8">
        <v>6.7</v>
      </c>
      <c r="AN40" s="9">
        <v>15.2</v>
      </c>
      <c r="AO40" s="8">
        <v>242.9</v>
      </c>
      <c r="AP40" s="9">
        <v>4.63</v>
      </c>
      <c r="AQ40" s="1">
        <v>3.76</v>
      </c>
      <c r="AR40" s="8">
        <v>71.6</v>
      </c>
      <c r="AS40" s="8">
        <v>297</v>
      </c>
      <c r="AT40" s="9">
        <v>6.27</v>
      </c>
      <c r="AU40" s="9">
        <v>1.56</v>
      </c>
      <c r="AV40" s="9">
        <v>2.34</v>
      </c>
      <c r="AW40" s="9">
        <v>1</v>
      </c>
      <c r="AX40" s="9">
        <v>3.58</v>
      </c>
      <c r="AY40" s="8">
        <v>142.8</v>
      </c>
      <c r="AZ40" s="8">
        <v>28.7</v>
      </c>
      <c r="BA40" s="9">
        <v>1.61</v>
      </c>
      <c r="BB40" s="9">
        <v>4.49</v>
      </c>
      <c r="BC40" s="8">
        <v>166.5</v>
      </c>
      <c r="BD40" s="10">
        <v>847</v>
      </c>
      <c r="BE40" s="10">
        <v>1</v>
      </c>
    </row>
    <row r="41" ht="15.6" spans="1:57">
      <c r="A41" s="14">
        <v>40</v>
      </c>
      <c r="B41" s="14" t="s">
        <v>95</v>
      </c>
      <c r="C41" s="15">
        <v>1</v>
      </c>
      <c r="D41" s="14">
        <v>1</v>
      </c>
      <c r="E41" s="14">
        <v>54</v>
      </c>
      <c r="F41" s="14">
        <v>0</v>
      </c>
      <c r="G41" s="14">
        <v>0</v>
      </c>
      <c r="H41" s="14">
        <v>168</v>
      </c>
      <c r="I41" s="14">
        <v>51</v>
      </c>
      <c r="J41" s="19">
        <f t="shared" si="0"/>
        <v>18.0697278911565</v>
      </c>
      <c r="K41" s="14">
        <v>0.676</v>
      </c>
      <c r="L41" s="14">
        <v>0.213</v>
      </c>
      <c r="M41" s="14">
        <v>0.078</v>
      </c>
      <c r="N41" s="14">
        <v>114</v>
      </c>
      <c r="O41" s="20">
        <f t="shared" si="1"/>
        <v>0.247549295774648</v>
      </c>
      <c r="P41" s="20">
        <f t="shared" si="2"/>
        <v>3.17370892018779</v>
      </c>
      <c r="Q41" s="20">
        <f t="shared" si="3"/>
        <v>0.0117876705882353</v>
      </c>
      <c r="R41" s="20">
        <f t="shared" si="4"/>
        <v>3.29411764705882</v>
      </c>
      <c r="S41" s="23">
        <v>3</v>
      </c>
      <c r="T41" s="14">
        <v>1</v>
      </c>
      <c r="U41" s="14">
        <v>3</v>
      </c>
      <c r="V41" s="14">
        <v>2</v>
      </c>
      <c r="W41" s="14">
        <v>1</v>
      </c>
      <c r="X41" s="14">
        <v>3</v>
      </c>
      <c r="Y41" s="14">
        <v>4</v>
      </c>
      <c r="Z41" s="14">
        <v>1</v>
      </c>
      <c r="AA41" s="20">
        <v>1.017</v>
      </c>
      <c r="AB41" s="1">
        <v>1.2</v>
      </c>
      <c r="AC41" s="1">
        <v>123</v>
      </c>
      <c r="AD41" s="1">
        <v>6.39</v>
      </c>
      <c r="AE41" s="7">
        <v>0.356</v>
      </c>
      <c r="AF41" s="8">
        <v>94.7</v>
      </c>
      <c r="AG41" s="1">
        <v>346</v>
      </c>
      <c r="AH41" s="8">
        <v>10.4</v>
      </c>
      <c r="AI41" s="8">
        <v>38.7</v>
      </c>
      <c r="AJ41" s="9">
        <v>4.09</v>
      </c>
      <c r="AK41" s="8">
        <v>38.8</v>
      </c>
      <c r="AL41" s="8">
        <v>7.4</v>
      </c>
      <c r="AM41" s="8">
        <v>3.1</v>
      </c>
      <c r="AN41" s="9">
        <v>16.9</v>
      </c>
      <c r="AO41" s="8">
        <v>65.2</v>
      </c>
      <c r="AP41" s="9">
        <v>4.88</v>
      </c>
      <c r="AQ41" s="1">
        <v>4.11</v>
      </c>
      <c r="AR41" s="8">
        <v>46.5</v>
      </c>
      <c r="AS41" s="8">
        <v>303.3</v>
      </c>
      <c r="AT41" s="9">
        <v>2.74</v>
      </c>
      <c r="AU41" s="9">
        <v>1.1</v>
      </c>
      <c r="AV41" s="9">
        <v>2.25</v>
      </c>
      <c r="AW41" s="9">
        <v>1.35</v>
      </c>
      <c r="AX41" s="9">
        <v>3.9</v>
      </c>
      <c r="AY41" s="8">
        <v>139</v>
      </c>
      <c r="AZ41" s="8">
        <v>26.7</v>
      </c>
      <c r="BA41" s="9">
        <v>0.83</v>
      </c>
      <c r="BB41" s="9">
        <v>1.5</v>
      </c>
      <c r="BC41" s="8">
        <v>149.2</v>
      </c>
      <c r="BD41" s="10">
        <v>1324</v>
      </c>
      <c r="BE41" s="10">
        <v>1</v>
      </c>
    </row>
    <row r="42" ht="15.6" spans="1:57">
      <c r="A42" s="14">
        <v>41</v>
      </c>
      <c r="B42" s="14" t="s">
        <v>96</v>
      </c>
      <c r="C42" s="15">
        <v>0</v>
      </c>
      <c r="D42" s="14">
        <v>2</v>
      </c>
      <c r="E42" s="14">
        <v>80</v>
      </c>
      <c r="F42" s="14">
        <v>0</v>
      </c>
      <c r="G42" s="14">
        <v>0</v>
      </c>
      <c r="H42" s="14">
        <v>153</v>
      </c>
      <c r="I42" s="14">
        <v>65</v>
      </c>
      <c r="J42" s="19">
        <f t="shared" si="0"/>
        <v>27.7670981246529</v>
      </c>
      <c r="K42" s="14">
        <v>0.517</v>
      </c>
      <c r="L42" s="14">
        <v>0.384</v>
      </c>
      <c r="M42" s="14">
        <v>0.071</v>
      </c>
      <c r="N42" s="14">
        <v>254</v>
      </c>
      <c r="O42" s="20">
        <f t="shared" si="1"/>
        <v>0.0955911458333333</v>
      </c>
      <c r="P42" s="20">
        <f t="shared" si="2"/>
        <v>1.34635416666667</v>
      </c>
      <c r="Q42" s="20">
        <f t="shared" si="3"/>
        <v>0.0138293169230769</v>
      </c>
      <c r="R42" s="20">
        <f t="shared" si="4"/>
        <v>2.35384615384615</v>
      </c>
      <c r="S42" s="23">
        <v>1</v>
      </c>
      <c r="T42" s="14">
        <v>1</v>
      </c>
      <c r="U42" s="14">
        <v>2</v>
      </c>
      <c r="V42" s="14">
        <v>0</v>
      </c>
      <c r="W42" s="14">
        <v>0</v>
      </c>
      <c r="X42" s="14">
        <v>3</v>
      </c>
      <c r="Y42" s="14">
        <v>2</v>
      </c>
      <c r="Z42" s="14">
        <v>0</v>
      </c>
      <c r="AA42" s="20">
        <v>1.011</v>
      </c>
      <c r="AB42" s="1">
        <v>2.6</v>
      </c>
      <c r="AC42" s="1">
        <v>144</v>
      </c>
      <c r="AD42" s="1">
        <v>5.6</v>
      </c>
      <c r="AE42" s="7">
        <v>0.41</v>
      </c>
      <c r="AF42" s="8">
        <v>92.1</v>
      </c>
      <c r="AG42" s="1">
        <v>351</v>
      </c>
      <c r="AH42" s="8">
        <v>10.6</v>
      </c>
      <c r="AI42" s="8">
        <v>41.1</v>
      </c>
      <c r="AJ42" s="9">
        <v>3.59</v>
      </c>
      <c r="AK42" s="8">
        <v>45.2</v>
      </c>
      <c r="AL42" s="8">
        <v>10.2</v>
      </c>
      <c r="AM42" s="8">
        <v>2.4</v>
      </c>
      <c r="AN42" s="9">
        <v>7.4</v>
      </c>
      <c r="AO42" s="8">
        <v>19.4</v>
      </c>
      <c r="AP42" s="9">
        <v>4.83</v>
      </c>
      <c r="AQ42" s="1">
        <v>5.27</v>
      </c>
      <c r="AR42" s="8">
        <v>67.2</v>
      </c>
      <c r="AS42" s="8">
        <v>393.5</v>
      </c>
      <c r="AT42" s="9">
        <v>5.31</v>
      </c>
      <c r="AU42" s="9">
        <v>1.53</v>
      </c>
      <c r="AV42" s="9">
        <v>2.3</v>
      </c>
      <c r="AW42" s="9">
        <v>1.29</v>
      </c>
      <c r="AX42" s="9">
        <v>4.16</v>
      </c>
      <c r="AY42" s="8">
        <v>143.3</v>
      </c>
      <c r="AZ42" s="8">
        <v>23.9</v>
      </c>
      <c r="BA42" s="9">
        <v>1.38</v>
      </c>
      <c r="BB42" s="9">
        <v>3.78</v>
      </c>
      <c r="BC42" s="8">
        <v>180</v>
      </c>
      <c r="BD42" s="10">
        <v>2677</v>
      </c>
      <c r="BE42" s="10">
        <v>1</v>
      </c>
    </row>
    <row r="43" ht="15.6" spans="1:57">
      <c r="A43" s="14">
        <v>42</v>
      </c>
      <c r="B43" s="14" t="s">
        <v>97</v>
      </c>
      <c r="C43" s="15">
        <v>1</v>
      </c>
      <c r="D43" s="14">
        <v>2</v>
      </c>
      <c r="E43" s="14">
        <v>47</v>
      </c>
      <c r="F43" s="14">
        <v>0</v>
      </c>
      <c r="G43" s="14">
        <v>0</v>
      </c>
      <c r="H43" s="14">
        <v>160</v>
      </c>
      <c r="I43" s="14">
        <v>52</v>
      </c>
      <c r="J43" s="19">
        <f t="shared" si="0"/>
        <v>20.3125</v>
      </c>
      <c r="K43" s="14">
        <v>0.538</v>
      </c>
      <c r="L43" s="14">
        <v>0.369</v>
      </c>
      <c r="M43" s="14">
        <v>0.074</v>
      </c>
      <c r="N43" s="14">
        <v>157</v>
      </c>
      <c r="O43" s="20">
        <f t="shared" si="1"/>
        <v>0.107891598915989</v>
      </c>
      <c r="P43" s="20">
        <f t="shared" si="2"/>
        <v>1.4579945799458</v>
      </c>
      <c r="Q43" s="20">
        <f t="shared" si="3"/>
        <v>0.0181661538461538</v>
      </c>
      <c r="R43" s="20">
        <f t="shared" si="4"/>
        <v>3.07692307692308</v>
      </c>
      <c r="S43" s="23">
        <v>2</v>
      </c>
      <c r="T43" s="14">
        <v>1</v>
      </c>
      <c r="U43" s="14">
        <v>1</v>
      </c>
      <c r="V43" s="14">
        <v>2</v>
      </c>
      <c r="W43" s="14">
        <v>1</v>
      </c>
      <c r="X43" s="14">
        <v>3</v>
      </c>
      <c r="Y43" s="14">
        <v>4</v>
      </c>
      <c r="Z43" s="14">
        <v>0</v>
      </c>
      <c r="AA43" s="20">
        <v>1.021</v>
      </c>
      <c r="AB43" s="1">
        <v>24.6</v>
      </c>
      <c r="AC43" s="1">
        <v>123</v>
      </c>
      <c r="AD43" s="1">
        <v>3.79</v>
      </c>
      <c r="AE43" s="7">
        <v>0.353</v>
      </c>
      <c r="AF43" s="8">
        <v>92.2</v>
      </c>
      <c r="AG43" s="1">
        <v>348</v>
      </c>
      <c r="AH43" s="8">
        <v>10</v>
      </c>
      <c r="AI43" s="8">
        <v>36.2</v>
      </c>
      <c r="AJ43" s="9">
        <v>2.42</v>
      </c>
      <c r="AK43" s="8">
        <v>37.8</v>
      </c>
      <c r="AL43" s="8">
        <v>7.5</v>
      </c>
      <c r="AM43" s="8">
        <v>1.7</v>
      </c>
      <c r="AN43" s="9">
        <v>4.9</v>
      </c>
      <c r="AO43" s="8">
        <v>14.9</v>
      </c>
      <c r="AP43" s="9">
        <v>5.11</v>
      </c>
      <c r="AQ43" s="9">
        <v>3.5</v>
      </c>
      <c r="AR43" s="8">
        <v>56.9</v>
      </c>
      <c r="AS43" s="8">
        <v>209.9</v>
      </c>
      <c r="AT43" s="9">
        <v>3.67</v>
      </c>
      <c r="AU43" s="9">
        <v>0.9</v>
      </c>
      <c r="AV43" s="9">
        <v>2.16</v>
      </c>
      <c r="AW43" s="9">
        <v>1.03</v>
      </c>
      <c r="AX43" s="9">
        <v>3.83</v>
      </c>
      <c r="AY43" s="8">
        <v>143.4</v>
      </c>
      <c r="AZ43" s="8">
        <v>27.7</v>
      </c>
      <c r="BA43" s="9">
        <v>1.4</v>
      </c>
      <c r="BB43" s="9">
        <v>2.09</v>
      </c>
      <c r="BC43" s="8">
        <v>161.5</v>
      </c>
      <c r="BD43" s="10">
        <v>1823</v>
      </c>
      <c r="BE43" s="10">
        <v>1</v>
      </c>
    </row>
    <row r="44" ht="15.6" spans="1:57">
      <c r="A44" s="14">
        <v>43</v>
      </c>
      <c r="B44" s="14" t="s">
        <v>98</v>
      </c>
      <c r="C44" s="15">
        <v>0</v>
      </c>
      <c r="D44" s="14">
        <v>2</v>
      </c>
      <c r="E44" s="14">
        <v>27</v>
      </c>
      <c r="F44" s="14">
        <v>0</v>
      </c>
      <c r="G44" s="14">
        <v>0</v>
      </c>
      <c r="H44" s="14">
        <v>174</v>
      </c>
      <c r="I44" s="14">
        <v>76</v>
      </c>
      <c r="J44" s="19">
        <f t="shared" si="0"/>
        <v>25.1023913330691</v>
      </c>
      <c r="K44" s="14">
        <v>0.439</v>
      </c>
      <c r="L44" s="14">
        <v>0.464</v>
      </c>
      <c r="M44" s="14">
        <v>0.063</v>
      </c>
      <c r="N44" s="14">
        <v>264</v>
      </c>
      <c r="O44" s="20">
        <f t="shared" si="1"/>
        <v>0.0596056034482759</v>
      </c>
      <c r="P44" s="20">
        <f t="shared" si="2"/>
        <v>0.946120689655172</v>
      </c>
      <c r="Q44" s="20">
        <f t="shared" si="3"/>
        <v>0.0184842947368421</v>
      </c>
      <c r="R44" s="20">
        <f t="shared" si="4"/>
        <v>2.28947368421053</v>
      </c>
      <c r="S44" s="23">
        <v>1</v>
      </c>
      <c r="T44" s="14">
        <v>1</v>
      </c>
      <c r="U44" s="14">
        <v>1</v>
      </c>
      <c r="V44" s="14">
        <v>2</v>
      </c>
      <c r="W44" s="14">
        <v>1</v>
      </c>
      <c r="X44" s="14">
        <v>3</v>
      </c>
      <c r="Y44" s="14">
        <v>4</v>
      </c>
      <c r="Z44" s="1">
        <v>0</v>
      </c>
      <c r="AA44" s="20">
        <v>1.032</v>
      </c>
      <c r="AB44" s="1">
        <v>7.6</v>
      </c>
      <c r="AC44" s="1">
        <v>92</v>
      </c>
      <c r="AD44" s="1">
        <v>3.84</v>
      </c>
      <c r="AE44" s="7">
        <v>0.295</v>
      </c>
      <c r="AF44" s="8">
        <v>74.7</v>
      </c>
      <c r="AG44" s="1">
        <v>312</v>
      </c>
      <c r="AH44" s="8">
        <v>10.5</v>
      </c>
      <c r="AI44" s="8">
        <v>41.4</v>
      </c>
      <c r="AJ44" s="9">
        <v>2.23</v>
      </c>
      <c r="AK44" s="8">
        <v>40.6</v>
      </c>
      <c r="AL44" s="8">
        <v>6.6</v>
      </c>
      <c r="AM44" s="8">
        <v>2.4</v>
      </c>
      <c r="AN44" s="9">
        <v>7.6</v>
      </c>
      <c r="AO44" s="8">
        <v>6.3</v>
      </c>
      <c r="AP44" s="9">
        <v>4.53</v>
      </c>
      <c r="AQ44" s="9">
        <v>5.2</v>
      </c>
      <c r="AR44" s="8">
        <v>49.3</v>
      </c>
      <c r="AS44" s="8">
        <v>226.9</v>
      </c>
      <c r="AT44" s="9">
        <v>3.93</v>
      </c>
      <c r="AU44" s="9">
        <v>0.45</v>
      </c>
      <c r="AV44" s="9">
        <v>2.13</v>
      </c>
      <c r="AW44" s="9">
        <v>1.11</v>
      </c>
      <c r="AX44" s="9">
        <v>3.77</v>
      </c>
      <c r="AY44" s="8">
        <v>140.6</v>
      </c>
      <c r="AZ44" s="8">
        <v>26.3</v>
      </c>
      <c r="BA44" s="9">
        <v>1.37</v>
      </c>
      <c r="BB44" s="9">
        <v>2.55</v>
      </c>
      <c r="BC44" s="8">
        <v>140.6</v>
      </c>
      <c r="BD44" s="10">
        <v>2670</v>
      </c>
      <c r="BE44" s="10">
        <v>0</v>
      </c>
    </row>
    <row r="45" ht="15.6" spans="1:57">
      <c r="A45" s="14">
        <v>44</v>
      </c>
      <c r="B45" s="14" t="s">
        <v>99</v>
      </c>
      <c r="C45" s="15">
        <v>1</v>
      </c>
      <c r="D45" s="14">
        <v>2</v>
      </c>
      <c r="E45" s="14">
        <v>85</v>
      </c>
      <c r="F45" s="14">
        <v>0</v>
      </c>
      <c r="G45" s="14">
        <v>0</v>
      </c>
      <c r="H45" s="14">
        <v>157</v>
      </c>
      <c r="I45" s="14">
        <v>59</v>
      </c>
      <c r="J45" s="19">
        <f t="shared" si="0"/>
        <v>23.9360623149012</v>
      </c>
      <c r="K45" s="14">
        <v>0.664</v>
      </c>
      <c r="L45" s="14">
        <v>0.184</v>
      </c>
      <c r="M45" s="14">
        <v>0.093</v>
      </c>
      <c r="N45" s="14">
        <v>214</v>
      </c>
      <c r="O45" s="20">
        <f t="shared" si="1"/>
        <v>0.335608695652174</v>
      </c>
      <c r="P45" s="20">
        <f t="shared" si="2"/>
        <v>3.60869565217391</v>
      </c>
      <c r="Q45" s="20">
        <f t="shared" si="3"/>
        <v>0.00768714576271187</v>
      </c>
      <c r="R45" s="20">
        <f t="shared" si="4"/>
        <v>2.66101694915254</v>
      </c>
      <c r="S45" s="23">
        <v>1</v>
      </c>
      <c r="T45" s="14">
        <v>1</v>
      </c>
      <c r="U45" s="14">
        <v>1</v>
      </c>
      <c r="V45" s="14">
        <v>0</v>
      </c>
      <c r="W45" s="14">
        <v>0</v>
      </c>
      <c r="X45" s="14">
        <v>3</v>
      </c>
      <c r="Y45" s="14">
        <v>1</v>
      </c>
      <c r="Z45" s="14">
        <v>0</v>
      </c>
      <c r="AA45" s="20">
        <v>1.009</v>
      </c>
      <c r="AB45" s="1">
        <v>0.9</v>
      </c>
      <c r="AC45" s="1">
        <v>125</v>
      </c>
      <c r="AD45" s="1">
        <v>3.86</v>
      </c>
      <c r="AE45" s="7">
        <v>0.383</v>
      </c>
      <c r="AF45" s="8">
        <v>84.5</v>
      </c>
      <c r="AG45" s="1">
        <v>326</v>
      </c>
      <c r="AH45" s="8">
        <v>11.9</v>
      </c>
      <c r="AI45" s="8">
        <v>38.6</v>
      </c>
      <c r="AJ45" s="9">
        <v>3.35</v>
      </c>
      <c r="AK45" s="8">
        <v>40.9</v>
      </c>
      <c r="AL45" s="8">
        <v>11.9</v>
      </c>
      <c r="AM45" s="8">
        <v>3.1</v>
      </c>
      <c r="AN45" s="9">
        <v>12.7</v>
      </c>
      <c r="AO45" s="8">
        <v>14.5</v>
      </c>
      <c r="AP45" s="9">
        <v>5.2</v>
      </c>
      <c r="AQ45" s="1">
        <v>3.94</v>
      </c>
      <c r="AR45" s="8">
        <v>61.5</v>
      </c>
      <c r="AS45" s="8">
        <v>233.4</v>
      </c>
      <c r="AT45" s="9">
        <v>4.94</v>
      </c>
      <c r="AU45" s="9">
        <v>1.14</v>
      </c>
      <c r="AV45" s="9">
        <v>2.28</v>
      </c>
      <c r="AW45" s="9">
        <v>0.99</v>
      </c>
      <c r="AX45" s="9">
        <v>4.26</v>
      </c>
      <c r="AY45" s="8">
        <v>144.5</v>
      </c>
      <c r="AZ45" s="8">
        <v>26.1</v>
      </c>
      <c r="BA45" s="9">
        <v>1.84</v>
      </c>
      <c r="BB45" s="9">
        <v>2.96</v>
      </c>
      <c r="BC45" s="8">
        <v>168.9</v>
      </c>
      <c r="BD45" s="10">
        <v>919</v>
      </c>
      <c r="BE45" s="10">
        <v>1</v>
      </c>
    </row>
    <row r="46" ht="15.6" spans="1:57">
      <c r="A46" s="14">
        <v>45</v>
      </c>
      <c r="B46" s="14" t="s">
        <v>100</v>
      </c>
      <c r="C46" s="15">
        <v>1</v>
      </c>
      <c r="D46" s="14">
        <v>2</v>
      </c>
      <c r="E46" s="14">
        <v>51</v>
      </c>
      <c r="F46" s="14">
        <v>1</v>
      </c>
      <c r="G46" s="14">
        <v>0</v>
      </c>
      <c r="H46" s="14">
        <v>163</v>
      </c>
      <c r="I46" s="14">
        <v>65</v>
      </c>
      <c r="J46" s="19">
        <f t="shared" si="0"/>
        <v>24.4646016033724</v>
      </c>
      <c r="K46" s="14">
        <v>0.581</v>
      </c>
      <c r="L46" s="14">
        <v>0.319</v>
      </c>
      <c r="M46" s="14">
        <v>0.092</v>
      </c>
      <c r="N46" s="14">
        <v>324</v>
      </c>
      <c r="O46" s="20">
        <f t="shared" si="1"/>
        <v>0.167561128526646</v>
      </c>
      <c r="P46" s="20">
        <f t="shared" si="2"/>
        <v>1.82131661442006</v>
      </c>
      <c r="Q46" s="20">
        <f t="shared" si="3"/>
        <v>0.0130392476923077</v>
      </c>
      <c r="R46" s="20">
        <f t="shared" si="4"/>
        <v>2.50769230769231</v>
      </c>
      <c r="S46" s="23">
        <v>1</v>
      </c>
      <c r="T46" s="14">
        <v>1</v>
      </c>
      <c r="U46" s="14">
        <v>2</v>
      </c>
      <c r="V46" s="14">
        <v>2</v>
      </c>
      <c r="W46" s="14">
        <v>1</v>
      </c>
      <c r="X46" s="14">
        <v>2</v>
      </c>
      <c r="Y46" s="14">
        <v>4</v>
      </c>
      <c r="Z46" s="1">
        <v>0</v>
      </c>
      <c r="AA46" s="20">
        <v>1.008</v>
      </c>
      <c r="AB46" s="1">
        <v>65.1</v>
      </c>
      <c r="AC46" s="1">
        <v>118</v>
      </c>
      <c r="AD46" s="1">
        <v>6.73</v>
      </c>
      <c r="AE46" s="7">
        <v>0.356</v>
      </c>
      <c r="AF46" s="8">
        <v>92.5</v>
      </c>
      <c r="AG46" s="1">
        <v>331</v>
      </c>
      <c r="AH46" s="8">
        <v>10.3</v>
      </c>
      <c r="AI46" s="8">
        <v>36.1</v>
      </c>
      <c r="AJ46" s="9">
        <v>3.49</v>
      </c>
      <c r="AK46" s="8">
        <v>38.7</v>
      </c>
      <c r="AL46" s="8">
        <v>10.6</v>
      </c>
      <c r="AM46" s="8">
        <v>3.2</v>
      </c>
      <c r="AN46" s="9">
        <v>5.7</v>
      </c>
      <c r="AO46" s="8">
        <v>13</v>
      </c>
      <c r="AP46" s="9">
        <v>3.99</v>
      </c>
      <c r="AQ46" s="1">
        <v>2.48</v>
      </c>
      <c r="AR46" s="8">
        <v>47.9</v>
      </c>
      <c r="AS46" s="8">
        <v>255.8</v>
      </c>
      <c r="AT46" s="9">
        <v>3.51</v>
      </c>
      <c r="AU46" s="9">
        <v>0.92</v>
      </c>
      <c r="AV46" s="9">
        <v>2.17</v>
      </c>
      <c r="AW46" s="9">
        <v>1.17</v>
      </c>
      <c r="AX46" s="9">
        <v>3.74</v>
      </c>
      <c r="AY46" s="8">
        <v>148.3</v>
      </c>
      <c r="AZ46" s="8">
        <v>26.3</v>
      </c>
      <c r="BA46" s="9">
        <v>0.87</v>
      </c>
      <c r="BB46" s="9">
        <v>2.42</v>
      </c>
      <c r="BC46" s="8">
        <v>136</v>
      </c>
      <c r="BD46" s="10">
        <v>1648</v>
      </c>
      <c r="BE46" s="10">
        <v>1</v>
      </c>
    </row>
    <row r="47" ht="15.6" spans="1:57">
      <c r="A47" s="14">
        <v>46</v>
      </c>
      <c r="B47" s="14" t="s">
        <v>101</v>
      </c>
      <c r="C47" s="15">
        <v>1</v>
      </c>
      <c r="D47" s="14">
        <v>2</v>
      </c>
      <c r="E47" s="14">
        <v>49</v>
      </c>
      <c r="F47" s="14">
        <v>0</v>
      </c>
      <c r="G47" s="14">
        <v>0</v>
      </c>
      <c r="H47" s="14">
        <v>153</v>
      </c>
      <c r="I47" s="14">
        <v>55</v>
      </c>
      <c r="J47" s="19">
        <f t="shared" si="0"/>
        <v>23.4952368747063</v>
      </c>
      <c r="K47" s="14">
        <v>0.572</v>
      </c>
      <c r="L47" s="14">
        <v>0.342</v>
      </c>
      <c r="M47" s="14">
        <v>0.068</v>
      </c>
      <c r="N47" s="14">
        <v>187</v>
      </c>
      <c r="O47" s="20">
        <f t="shared" si="1"/>
        <v>0.113730994152047</v>
      </c>
      <c r="P47" s="20">
        <f t="shared" si="2"/>
        <v>1.67251461988304</v>
      </c>
      <c r="Q47" s="20">
        <f t="shared" si="3"/>
        <v>0.0145561418181818</v>
      </c>
      <c r="R47" s="20">
        <f t="shared" si="4"/>
        <v>2.78181818181818</v>
      </c>
      <c r="S47" s="23">
        <v>3</v>
      </c>
      <c r="T47" s="14">
        <v>1</v>
      </c>
      <c r="U47" s="14">
        <v>1</v>
      </c>
      <c r="V47" s="14">
        <v>2</v>
      </c>
      <c r="W47" s="14">
        <v>1</v>
      </c>
      <c r="X47" s="14">
        <v>3</v>
      </c>
      <c r="Y47" s="14">
        <v>4</v>
      </c>
      <c r="Z47" s="1">
        <v>0</v>
      </c>
      <c r="AA47" s="20">
        <v>1.027</v>
      </c>
      <c r="AB47" s="1">
        <v>5.7</v>
      </c>
      <c r="AC47" s="1">
        <v>133</v>
      </c>
      <c r="AD47" s="1">
        <v>6.02</v>
      </c>
      <c r="AE47" s="7">
        <v>0.378</v>
      </c>
      <c r="AF47" s="8">
        <v>94.7</v>
      </c>
      <c r="AG47" s="1">
        <v>352</v>
      </c>
      <c r="AH47" s="8">
        <v>11.3</v>
      </c>
      <c r="AI47" s="8">
        <v>37.6</v>
      </c>
      <c r="AJ47" s="9">
        <v>3.49</v>
      </c>
      <c r="AK47" s="8">
        <v>41.7</v>
      </c>
      <c r="AL47" s="8">
        <v>10.6</v>
      </c>
      <c r="AM47" s="8">
        <v>2.9</v>
      </c>
      <c r="AN47" s="9">
        <v>4.4</v>
      </c>
      <c r="AO47" s="8">
        <v>12.9</v>
      </c>
      <c r="AP47" s="9">
        <v>4.61</v>
      </c>
      <c r="AQ47" s="1">
        <v>5.03</v>
      </c>
      <c r="AR47" s="8">
        <v>46.5</v>
      </c>
      <c r="AS47" s="8">
        <v>152.6</v>
      </c>
      <c r="AT47" s="9">
        <v>3.28</v>
      </c>
      <c r="AU47" s="9">
        <v>1.95</v>
      </c>
      <c r="AV47" s="9">
        <v>2.22</v>
      </c>
      <c r="AW47" s="9">
        <v>1.19</v>
      </c>
      <c r="AX47" s="9">
        <v>3.76</v>
      </c>
      <c r="AY47" s="8">
        <v>141.4</v>
      </c>
      <c r="AZ47" s="8">
        <v>24.8</v>
      </c>
      <c r="BA47" s="9">
        <v>0.71</v>
      </c>
      <c r="BB47" s="9">
        <v>2.07</v>
      </c>
      <c r="BC47" s="8">
        <v>134.8</v>
      </c>
      <c r="BD47" s="10">
        <v>531</v>
      </c>
      <c r="BE47" s="10">
        <v>1</v>
      </c>
    </row>
    <row r="48" ht="15.6" spans="1:57">
      <c r="A48" s="14">
        <v>47</v>
      </c>
      <c r="B48" s="14" t="s">
        <v>102</v>
      </c>
      <c r="C48" s="15">
        <v>0</v>
      </c>
      <c r="D48" s="14">
        <v>1</v>
      </c>
      <c r="E48" s="14">
        <v>53</v>
      </c>
      <c r="F48" s="14">
        <v>0</v>
      </c>
      <c r="G48" s="14">
        <v>0</v>
      </c>
      <c r="H48" s="14">
        <v>172</v>
      </c>
      <c r="I48" s="14">
        <v>80</v>
      </c>
      <c r="J48" s="19">
        <f t="shared" si="0"/>
        <v>27.0416441319632</v>
      </c>
      <c r="K48" s="20">
        <v>0.51</v>
      </c>
      <c r="L48" s="14">
        <v>0.376</v>
      </c>
      <c r="M48" s="14">
        <v>0.062</v>
      </c>
      <c r="N48" s="14">
        <v>246</v>
      </c>
      <c r="O48" s="20">
        <f t="shared" si="1"/>
        <v>0.0840957446808511</v>
      </c>
      <c r="P48" s="20">
        <f t="shared" si="2"/>
        <v>1.3563829787234</v>
      </c>
      <c r="Q48" s="20">
        <f t="shared" si="3"/>
        <v>0.01390448</v>
      </c>
      <c r="R48" s="20">
        <f t="shared" si="4"/>
        <v>2.15</v>
      </c>
      <c r="S48" s="23">
        <v>1</v>
      </c>
      <c r="T48" s="14">
        <v>1</v>
      </c>
      <c r="U48" s="14">
        <v>1</v>
      </c>
      <c r="V48" s="14">
        <v>0</v>
      </c>
      <c r="W48" s="14">
        <v>0</v>
      </c>
      <c r="X48" s="14">
        <v>2</v>
      </c>
      <c r="Y48" s="14">
        <v>1</v>
      </c>
      <c r="Z48" s="14">
        <v>0</v>
      </c>
      <c r="AA48" s="20">
        <v>1.015</v>
      </c>
      <c r="AB48" s="1">
        <v>2.2</v>
      </c>
      <c r="AC48" s="1">
        <v>145</v>
      </c>
      <c r="AD48" s="1">
        <v>7.61</v>
      </c>
      <c r="AE48" s="7">
        <v>0.431</v>
      </c>
      <c r="AF48" s="8">
        <v>93.1</v>
      </c>
      <c r="AG48" s="1">
        <v>336</v>
      </c>
      <c r="AH48" s="8">
        <v>10.1</v>
      </c>
      <c r="AI48" s="8">
        <v>37.2</v>
      </c>
      <c r="AJ48" s="9">
        <v>3.52</v>
      </c>
      <c r="AK48" s="8">
        <v>39.7</v>
      </c>
      <c r="AL48" s="8">
        <v>4.4</v>
      </c>
      <c r="AM48" s="8">
        <v>0.7</v>
      </c>
      <c r="AN48" s="9">
        <v>10.2</v>
      </c>
      <c r="AO48" s="8">
        <v>55</v>
      </c>
      <c r="AP48" s="9">
        <v>4.72</v>
      </c>
      <c r="AQ48" s="1">
        <v>4.97</v>
      </c>
      <c r="AR48" s="8">
        <v>82.6</v>
      </c>
      <c r="AS48" s="8">
        <v>284.4</v>
      </c>
      <c r="AT48" s="9">
        <v>5.01</v>
      </c>
      <c r="AU48" s="9">
        <v>2.18</v>
      </c>
      <c r="AV48" s="9">
        <v>2.15</v>
      </c>
      <c r="AW48" s="9">
        <v>1.36</v>
      </c>
      <c r="AX48" s="9">
        <v>4.17</v>
      </c>
      <c r="AY48" s="8">
        <v>146.7</v>
      </c>
      <c r="AZ48" s="8">
        <v>28.3</v>
      </c>
      <c r="BA48" s="9">
        <v>0.81</v>
      </c>
      <c r="BB48" s="9">
        <v>3.53</v>
      </c>
      <c r="BC48" s="8">
        <v>134.4</v>
      </c>
      <c r="BD48" s="10">
        <v>2632</v>
      </c>
      <c r="BE48" s="10">
        <v>0</v>
      </c>
    </row>
    <row r="49" ht="15.6" spans="1:57">
      <c r="A49" s="14">
        <v>48</v>
      </c>
      <c r="B49" s="14" t="s">
        <v>103</v>
      </c>
      <c r="C49" s="15">
        <v>0</v>
      </c>
      <c r="D49" s="14">
        <v>1</v>
      </c>
      <c r="E49" s="14">
        <v>69</v>
      </c>
      <c r="F49" s="14">
        <v>1</v>
      </c>
      <c r="G49" s="14">
        <v>0</v>
      </c>
      <c r="H49" s="14">
        <v>170</v>
      </c>
      <c r="I49" s="14">
        <v>68</v>
      </c>
      <c r="J49" s="19">
        <f t="shared" si="0"/>
        <v>23.5294117647059</v>
      </c>
      <c r="K49" s="14">
        <v>0.502</v>
      </c>
      <c r="L49" s="14">
        <v>0.351</v>
      </c>
      <c r="M49" s="14">
        <v>0.098</v>
      </c>
      <c r="N49" s="14">
        <v>181</v>
      </c>
      <c r="O49" s="20">
        <f t="shared" si="1"/>
        <v>0.140159544159544</v>
      </c>
      <c r="P49" s="20">
        <f t="shared" si="2"/>
        <v>1.43019943019943</v>
      </c>
      <c r="Q49" s="20">
        <f t="shared" si="3"/>
        <v>0.0149175</v>
      </c>
      <c r="R49" s="20">
        <f t="shared" si="4"/>
        <v>2.5</v>
      </c>
      <c r="S49" s="23">
        <v>1</v>
      </c>
      <c r="T49" s="14">
        <v>1</v>
      </c>
      <c r="U49" s="14">
        <v>1</v>
      </c>
      <c r="V49" s="14">
        <v>0</v>
      </c>
      <c r="W49" s="14">
        <v>0</v>
      </c>
      <c r="X49" s="14">
        <v>3</v>
      </c>
      <c r="Y49" s="14">
        <v>1</v>
      </c>
      <c r="Z49" s="1">
        <v>0</v>
      </c>
      <c r="AA49" s="20">
        <v>1.021</v>
      </c>
      <c r="AB49" s="1">
        <v>4.3</v>
      </c>
      <c r="AC49" s="1">
        <v>128</v>
      </c>
      <c r="AD49" s="9">
        <v>4.7</v>
      </c>
      <c r="AE49" s="7">
        <v>0.369</v>
      </c>
      <c r="AF49" s="8">
        <v>93.9</v>
      </c>
      <c r="AG49" s="1">
        <v>347</v>
      </c>
      <c r="AH49" s="8">
        <v>9.7</v>
      </c>
      <c r="AI49" s="8">
        <v>36</v>
      </c>
      <c r="AJ49" s="9">
        <v>3.2</v>
      </c>
      <c r="AK49" s="8">
        <v>38.8</v>
      </c>
      <c r="AL49" s="8">
        <v>17.8</v>
      </c>
      <c r="AM49" s="8">
        <v>5</v>
      </c>
      <c r="AN49" s="9">
        <v>14.9</v>
      </c>
      <c r="AO49" s="8">
        <v>22.1</v>
      </c>
      <c r="AP49" s="9">
        <v>4.59</v>
      </c>
      <c r="AQ49" s="1">
        <v>9.08</v>
      </c>
      <c r="AR49" s="8">
        <v>108.6</v>
      </c>
      <c r="AS49" s="8">
        <v>382.4</v>
      </c>
      <c r="AT49" s="9">
        <v>4.33</v>
      </c>
      <c r="AU49" s="9">
        <v>0.73</v>
      </c>
      <c r="AV49" s="9">
        <v>2.19</v>
      </c>
      <c r="AW49" s="9">
        <v>1.09</v>
      </c>
      <c r="AX49" s="9">
        <v>3.74</v>
      </c>
      <c r="AY49" s="8">
        <v>140.1</v>
      </c>
      <c r="AZ49" s="8">
        <v>24.9</v>
      </c>
      <c r="BA49" s="9">
        <v>1.23</v>
      </c>
      <c r="BB49" s="9">
        <v>3.03</v>
      </c>
      <c r="BC49" s="8">
        <v>168.1</v>
      </c>
      <c r="BD49" s="10">
        <v>2625</v>
      </c>
      <c r="BE49" s="10">
        <v>0</v>
      </c>
    </row>
    <row r="50" ht="15.6" spans="1:57">
      <c r="A50" s="14">
        <v>49</v>
      </c>
      <c r="B50" s="14" t="s">
        <v>104</v>
      </c>
      <c r="C50" s="15">
        <v>1</v>
      </c>
      <c r="D50" s="14">
        <v>1</v>
      </c>
      <c r="E50" s="14">
        <v>79</v>
      </c>
      <c r="F50" s="14">
        <v>0</v>
      </c>
      <c r="G50" s="14">
        <v>0</v>
      </c>
      <c r="H50" s="14">
        <v>169</v>
      </c>
      <c r="I50" s="14">
        <v>67</v>
      </c>
      <c r="J50" s="19">
        <f t="shared" si="0"/>
        <v>23.458562375267</v>
      </c>
      <c r="K50" s="14">
        <v>0.542</v>
      </c>
      <c r="L50" s="14">
        <v>0.346</v>
      </c>
      <c r="M50" s="14">
        <v>0.065</v>
      </c>
      <c r="N50" s="14">
        <v>252</v>
      </c>
      <c r="O50" s="20">
        <f t="shared" si="1"/>
        <v>0.101820809248555</v>
      </c>
      <c r="P50" s="20">
        <f t="shared" si="2"/>
        <v>1.56647398843931</v>
      </c>
      <c r="Q50" s="20">
        <f t="shared" si="3"/>
        <v>0.0147494119402985</v>
      </c>
      <c r="R50" s="20">
        <f t="shared" si="4"/>
        <v>2.52238805970149</v>
      </c>
      <c r="S50" s="23">
        <v>1</v>
      </c>
      <c r="T50" s="14">
        <v>1</v>
      </c>
      <c r="U50" s="14">
        <v>3</v>
      </c>
      <c r="V50" s="14">
        <v>0</v>
      </c>
      <c r="W50" s="14">
        <v>0</v>
      </c>
      <c r="X50" s="14">
        <v>3</v>
      </c>
      <c r="Y50" s="14">
        <v>3</v>
      </c>
      <c r="Z50" s="14">
        <v>1</v>
      </c>
      <c r="AA50" s="20">
        <v>1.007</v>
      </c>
      <c r="AB50" s="1">
        <v>5.4</v>
      </c>
      <c r="AC50" s="1">
        <v>163</v>
      </c>
      <c r="AD50" s="1">
        <v>6.16</v>
      </c>
      <c r="AE50" s="7">
        <v>0.479</v>
      </c>
      <c r="AF50" s="8">
        <v>89</v>
      </c>
      <c r="AG50" s="1">
        <v>340</v>
      </c>
      <c r="AH50" s="8">
        <v>11.8</v>
      </c>
      <c r="AI50" s="8">
        <v>33.5</v>
      </c>
      <c r="AJ50" s="9">
        <v>2.56</v>
      </c>
      <c r="AK50" s="8">
        <v>42.8</v>
      </c>
      <c r="AL50" s="8">
        <v>11</v>
      </c>
      <c r="AM50" s="8">
        <v>2.6</v>
      </c>
      <c r="AN50" s="9">
        <v>12.1</v>
      </c>
      <c r="AO50" s="8">
        <v>19.7</v>
      </c>
      <c r="AP50" s="9">
        <v>5.13</v>
      </c>
      <c r="AQ50" s="1">
        <v>7.04</v>
      </c>
      <c r="AR50" s="8">
        <v>100.02</v>
      </c>
      <c r="AS50" s="8">
        <v>343.5</v>
      </c>
      <c r="AT50" s="9">
        <v>5.02</v>
      </c>
      <c r="AU50" s="9">
        <v>1.91</v>
      </c>
      <c r="AV50" s="9">
        <v>2.33</v>
      </c>
      <c r="AW50" s="9">
        <v>1.12</v>
      </c>
      <c r="AX50" s="9">
        <v>4.84</v>
      </c>
      <c r="AY50" s="8">
        <v>142.3</v>
      </c>
      <c r="AZ50" s="8">
        <v>28.1</v>
      </c>
      <c r="BA50" s="9">
        <v>1.09</v>
      </c>
      <c r="BB50" s="9">
        <v>3.44</v>
      </c>
      <c r="BC50" s="8">
        <v>160.2</v>
      </c>
      <c r="BD50" s="10">
        <v>418</v>
      </c>
      <c r="BE50" s="10">
        <v>1</v>
      </c>
    </row>
    <row r="51" ht="15.6" spans="1:57">
      <c r="A51" s="14">
        <v>50</v>
      </c>
      <c r="B51" s="14" t="s">
        <v>105</v>
      </c>
      <c r="C51" s="15">
        <v>0</v>
      </c>
      <c r="D51" s="14">
        <v>1</v>
      </c>
      <c r="E51" s="14">
        <v>63</v>
      </c>
      <c r="F51" s="14">
        <v>0</v>
      </c>
      <c r="G51" s="14">
        <v>0</v>
      </c>
      <c r="H51" s="14">
        <v>166</v>
      </c>
      <c r="I51" s="14">
        <v>70</v>
      </c>
      <c r="J51" s="19">
        <f t="shared" si="0"/>
        <v>25.4028160836116</v>
      </c>
      <c r="K51" s="14">
        <v>0.509</v>
      </c>
      <c r="L51" s="20">
        <v>0.37</v>
      </c>
      <c r="M51" s="14">
        <v>0.063</v>
      </c>
      <c r="N51" s="14">
        <v>165</v>
      </c>
      <c r="O51" s="20">
        <f t="shared" si="1"/>
        <v>0.0866675675675676</v>
      </c>
      <c r="P51" s="20">
        <f t="shared" si="2"/>
        <v>1.37567567567568</v>
      </c>
      <c r="Q51" s="20">
        <f t="shared" si="3"/>
        <v>0.0145653142857143</v>
      </c>
      <c r="R51" s="20">
        <f t="shared" si="4"/>
        <v>2.37142857142857</v>
      </c>
      <c r="S51" s="23">
        <v>2</v>
      </c>
      <c r="T51" s="14">
        <v>1</v>
      </c>
      <c r="U51" s="14">
        <v>1</v>
      </c>
      <c r="V51" s="14">
        <v>1</v>
      </c>
      <c r="W51" s="14">
        <v>1</v>
      </c>
      <c r="X51" s="14">
        <v>2</v>
      </c>
      <c r="Y51" s="14">
        <v>4</v>
      </c>
      <c r="Z51" s="14">
        <v>0</v>
      </c>
      <c r="AA51" s="20">
        <v>1.024</v>
      </c>
      <c r="AB51" s="1">
        <v>5.5</v>
      </c>
      <c r="AC51" s="1">
        <v>140</v>
      </c>
      <c r="AD51" s="1">
        <v>5.24</v>
      </c>
      <c r="AE51" s="7">
        <v>0.421</v>
      </c>
      <c r="AF51" s="8">
        <v>94.4</v>
      </c>
      <c r="AG51" s="1">
        <v>333</v>
      </c>
      <c r="AH51" s="8">
        <v>12.5</v>
      </c>
      <c r="AI51" s="8">
        <v>36.3</v>
      </c>
      <c r="AJ51" s="9">
        <v>2.6</v>
      </c>
      <c r="AK51" s="8">
        <v>39.8</v>
      </c>
      <c r="AL51" s="8">
        <v>14</v>
      </c>
      <c r="AM51" s="8">
        <v>3.3</v>
      </c>
      <c r="AN51" s="9">
        <v>10.3</v>
      </c>
      <c r="AO51" s="8">
        <v>41.6</v>
      </c>
      <c r="AP51" s="9">
        <v>4.79</v>
      </c>
      <c r="AQ51" s="1">
        <v>6.64</v>
      </c>
      <c r="AR51" s="8">
        <v>90.2</v>
      </c>
      <c r="AS51" s="8">
        <v>387.9</v>
      </c>
      <c r="AT51" s="9">
        <v>4.38</v>
      </c>
      <c r="AU51" s="9">
        <v>1.77</v>
      </c>
      <c r="AV51" s="9">
        <v>2.19</v>
      </c>
      <c r="AW51" s="9">
        <v>1.09</v>
      </c>
      <c r="AX51" s="9">
        <v>4.09</v>
      </c>
      <c r="AY51" s="8">
        <v>144.9</v>
      </c>
      <c r="AZ51" s="8">
        <v>28.4</v>
      </c>
      <c r="BA51" s="9">
        <v>1.16</v>
      </c>
      <c r="BB51" s="9">
        <v>2.8</v>
      </c>
      <c r="BC51" s="8">
        <v>128.2</v>
      </c>
      <c r="BD51" s="10">
        <v>863</v>
      </c>
      <c r="BE51" s="10">
        <v>1</v>
      </c>
    </row>
    <row r="52" ht="15.6" spans="1:57">
      <c r="A52" s="14">
        <v>51</v>
      </c>
      <c r="B52" s="14" t="s">
        <v>106</v>
      </c>
      <c r="C52" s="15">
        <v>1</v>
      </c>
      <c r="D52" s="14">
        <v>1</v>
      </c>
      <c r="E52" s="14">
        <v>66</v>
      </c>
      <c r="F52" s="14">
        <v>1</v>
      </c>
      <c r="G52" s="14">
        <v>0</v>
      </c>
      <c r="H52" s="14">
        <v>170</v>
      </c>
      <c r="I52" s="14">
        <v>72</v>
      </c>
      <c r="J52" s="19">
        <f t="shared" si="0"/>
        <v>24.9134948096886</v>
      </c>
      <c r="K52" s="14">
        <v>0.563</v>
      </c>
      <c r="L52" s="14">
        <v>0.283</v>
      </c>
      <c r="M52" s="14">
        <v>0.102</v>
      </c>
      <c r="N52" s="14">
        <v>333</v>
      </c>
      <c r="O52" s="20">
        <f t="shared" si="1"/>
        <v>0.202918727915194</v>
      </c>
      <c r="P52" s="20">
        <f t="shared" si="2"/>
        <v>1.98939929328622</v>
      </c>
      <c r="Q52" s="20">
        <f t="shared" si="3"/>
        <v>0.0113593055555556</v>
      </c>
      <c r="R52" s="20">
        <f t="shared" si="4"/>
        <v>2.36111111111111</v>
      </c>
      <c r="S52" s="23">
        <v>1</v>
      </c>
      <c r="T52" s="14">
        <v>1</v>
      </c>
      <c r="U52" s="14">
        <v>1</v>
      </c>
      <c r="V52" s="14">
        <v>1</v>
      </c>
      <c r="W52" s="14">
        <v>1</v>
      </c>
      <c r="X52" s="14">
        <v>2</v>
      </c>
      <c r="Y52" s="14">
        <v>4</v>
      </c>
      <c r="Z52" s="1">
        <v>0</v>
      </c>
      <c r="AA52" s="20">
        <v>1.019</v>
      </c>
      <c r="AB52" s="1">
        <v>3.2</v>
      </c>
      <c r="AC52" s="1">
        <v>128</v>
      </c>
      <c r="AD52" s="1">
        <v>7.29</v>
      </c>
      <c r="AE52" s="7">
        <v>0.394</v>
      </c>
      <c r="AF52" s="8">
        <v>90.8</v>
      </c>
      <c r="AG52" s="1">
        <v>325</v>
      </c>
      <c r="AH52" s="8">
        <v>9.6</v>
      </c>
      <c r="AI52" s="8">
        <v>37.7</v>
      </c>
      <c r="AJ52" s="9">
        <v>4</v>
      </c>
      <c r="AK52" s="8">
        <v>37.3</v>
      </c>
      <c r="AL52" s="8">
        <v>8.6</v>
      </c>
      <c r="AM52" s="8">
        <v>2.6</v>
      </c>
      <c r="AN52" s="9">
        <v>11</v>
      </c>
      <c r="AO52" s="8">
        <v>43.7</v>
      </c>
      <c r="AP52" s="9">
        <v>5.41</v>
      </c>
      <c r="AQ52" s="1">
        <v>5.64</v>
      </c>
      <c r="AR52" s="8">
        <v>73.9</v>
      </c>
      <c r="AS52" s="8">
        <v>461.3</v>
      </c>
      <c r="AT52" s="9">
        <v>3.7</v>
      </c>
      <c r="AU52" s="9">
        <v>1.66</v>
      </c>
      <c r="AV52" s="9">
        <v>2.09</v>
      </c>
      <c r="AW52" s="9">
        <v>1.31</v>
      </c>
      <c r="AX52" s="9">
        <v>4.17</v>
      </c>
      <c r="AY52" s="8">
        <v>146.5</v>
      </c>
      <c r="AZ52" s="8">
        <v>28.9</v>
      </c>
      <c r="BA52" s="9">
        <v>0.89</v>
      </c>
      <c r="BB52" s="9">
        <v>2.33</v>
      </c>
      <c r="BC52" s="8">
        <v>140.6</v>
      </c>
      <c r="BD52" s="10">
        <v>1378</v>
      </c>
      <c r="BE52" s="10">
        <v>1</v>
      </c>
    </row>
    <row r="53" ht="15.6" spans="1:57">
      <c r="A53" s="14">
        <v>52</v>
      </c>
      <c r="B53" s="14" t="s">
        <v>107</v>
      </c>
      <c r="C53" s="15">
        <v>1</v>
      </c>
      <c r="D53" s="14">
        <v>1</v>
      </c>
      <c r="E53" s="14">
        <v>52</v>
      </c>
      <c r="F53" s="14">
        <v>0</v>
      </c>
      <c r="G53" s="14">
        <v>0</v>
      </c>
      <c r="H53" s="14">
        <v>168</v>
      </c>
      <c r="I53" s="14">
        <v>69</v>
      </c>
      <c r="J53" s="19">
        <f t="shared" si="0"/>
        <v>24.4472789115646</v>
      </c>
      <c r="K53" s="14">
        <v>0.693</v>
      </c>
      <c r="L53" s="14">
        <v>0.206</v>
      </c>
      <c r="M53" s="14">
        <v>0.072</v>
      </c>
      <c r="N53" s="14">
        <v>197</v>
      </c>
      <c r="O53" s="20">
        <f t="shared" si="1"/>
        <v>0.24221359223301</v>
      </c>
      <c r="P53" s="20">
        <f t="shared" si="2"/>
        <v>3.36407766990291</v>
      </c>
      <c r="Q53" s="20">
        <f t="shared" si="3"/>
        <v>0.00842629565217391</v>
      </c>
      <c r="R53" s="20">
        <f t="shared" si="4"/>
        <v>2.43478260869565</v>
      </c>
      <c r="S53" s="23">
        <v>3</v>
      </c>
      <c r="T53" s="14">
        <v>1</v>
      </c>
      <c r="U53" s="14">
        <v>2</v>
      </c>
      <c r="V53" s="14">
        <v>2</v>
      </c>
      <c r="W53" s="14">
        <v>1</v>
      </c>
      <c r="X53" s="14">
        <v>2</v>
      </c>
      <c r="Y53" s="14">
        <v>4</v>
      </c>
      <c r="Z53" s="14">
        <v>0</v>
      </c>
      <c r="AA53" s="20">
        <v>1.018</v>
      </c>
      <c r="AB53" s="1">
        <v>5.7</v>
      </c>
      <c r="AC53" s="1">
        <v>160</v>
      </c>
      <c r="AD53" s="1">
        <v>5.14</v>
      </c>
      <c r="AE53" s="7">
        <v>0.461</v>
      </c>
      <c r="AF53" s="8">
        <v>84.1</v>
      </c>
      <c r="AG53" s="1">
        <v>347</v>
      </c>
      <c r="AH53" s="8">
        <v>11.9</v>
      </c>
      <c r="AI53" s="8">
        <v>41.8</v>
      </c>
      <c r="AJ53" s="9">
        <v>3.33</v>
      </c>
      <c r="AK53" s="8">
        <v>49.1</v>
      </c>
      <c r="AL53" s="8">
        <v>9.7</v>
      </c>
      <c r="AM53" s="8">
        <v>2.9</v>
      </c>
      <c r="AN53" s="9">
        <v>13.8</v>
      </c>
      <c r="AO53" s="8">
        <v>18</v>
      </c>
      <c r="AP53" s="9">
        <v>4.78</v>
      </c>
      <c r="AQ53" s="1">
        <v>4.85</v>
      </c>
      <c r="AR53" s="8">
        <v>84.2</v>
      </c>
      <c r="AS53" s="8">
        <v>295.8</v>
      </c>
      <c r="AT53" s="9">
        <v>4.42</v>
      </c>
      <c r="AU53" s="9">
        <v>1.01</v>
      </c>
      <c r="AV53" s="9">
        <v>2.39</v>
      </c>
      <c r="AW53" s="9">
        <v>0.94</v>
      </c>
      <c r="AX53" s="9">
        <v>3.86</v>
      </c>
      <c r="AY53" s="8">
        <v>144.3</v>
      </c>
      <c r="AZ53" s="8">
        <v>27.7</v>
      </c>
      <c r="BA53" s="9">
        <v>1.16</v>
      </c>
      <c r="BB53" s="9">
        <v>2.99</v>
      </c>
      <c r="BC53" s="8">
        <v>161.5</v>
      </c>
      <c r="BD53" s="10">
        <v>2606</v>
      </c>
      <c r="BE53" s="10">
        <v>0</v>
      </c>
    </row>
    <row r="54" ht="15.6" spans="1:57">
      <c r="A54" s="14">
        <v>53</v>
      </c>
      <c r="B54" s="14" t="s">
        <v>108</v>
      </c>
      <c r="C54" s="15">
        <v>0</v>
      </c>
      <c r="D54" s="14">
        <v>1</v>
      </c>
      <c r="E54" s="14">
        <v>43</v>
      </c>
      <c r="F54" s="14">
        <v>1</v>
      </c>
      <c r="G54" s="14">
        <v>0</v>
      </c>
      <c r="H54" s="14">
        <v>165</v>
      </c>
      <c r="I54" s="14">
        <v>58</v>
      </c>
      <c r="J54" s="19">
        <f t="shared" si="0"/>
        <v>21.3039485766759</v>
      </c>
      <c r="K54" s="20">
        <v>0.62</v>
      </c>
      <c r="L54" s="14">
        <v>0.264</v>
      </c>
      <c r="M54" s="14">
        <v>0.074</v>
      </c>
      <c r="N54" s="14">
        <v>176</v>
      </c>
      <c r="O54" s="20">
        <f t="shared" si="1"/>
        <v>0.173787878787879</v>
      </c>
      <c r="P54" s="20">
        <f t="shared" si="2"/>
        <v>2.34848484848485</v>
      </c>
      <c r="Q54" s="20">
        <f t="shared" si="3"/>
        <v>0.0123920689655172</v>
      </c>
      <c r="R54" s="20">
        <f t="shared" si="4"/>
        <v>2.8448275862069</v>
      </c>
      <c r="S54" s="23">
        <v>1</v>
      </c>
      <c r="T54" s="14">
        <v>1</v>
      </c>
      <c r="U54" s="14">
        <v>2</v>
      </c>
      <c r="V54" s="14">
        <v>0</v>
      </c>
      <c r="W54" s="14">
        <v>0</v>
      </c>
      <c r="X54" s="14">
        <v>3</v>
      </c>
      <c r="Y54" s="14">
        <v>2</v>
      </c>
      <c r="Z54" s="1">
        <v>0</v>
      </c>
      <c r="AA54" s="20">
        <v>1.02</v>
      </c>
      <c r="AB54" s="1">
        <v>3.9</v>
      </c>
      <c r="AC54" s="1">
        <v>163</v>
      </c>
      <c r="AD54" s="1">
        <v>6.37</v>
      </c>
      <c r="AE54" s="7">
        <v>0.445</v>
      </c>
      <c r="AF54" s="8">
        <v>96.5</v>
      </c>
      <c r="AG54" s="1">
        <v>366</v>
      </c>
      <c r="AH54" s="8">
        <v>11.1</v>
      </c>
      <c r="AI54" s="8">
        <v>38</v>
      </c>
      <c r="AJ54" s="9">
        <v>3.2</v>
      </c>
      <c r="AK54" s="8">
        <v>39.4</v>
      </c>
      <c r="AL54" s="8">
        <v>11.6</v>
      </c>
      <c r="AM54" s="8">
        <v>2.6</v>
      </c>
      <c r="AN54" s="9">
        <v>14</v>
      </c>
      <c r="AO54" s="8">
        <v>44.7</v>
      </c>
      <c r="AP54" s="9">
        <v>4.71</v>
      </c>
      <c r="AQ54" s="1">
        <v>4.14</v>
      </c>
      <c r="AR54" s="8">
        <v>87.4</v>
      </c>
      <c r="AS54" s="8">
        <v>358.1</v>
      </c>
      <c r="AT54" s="9">
        <v>3.46</v>
      </c>
      <c r="AU54" s="9">
        <v>1.69</v>
      </c>
      <c r="AV54" s="9">
        <v>2.16</v>
      </c>
      <c r="AW54" s="9">
        <v>1.11</v>
      </c>
      <c r="AX54" s="9">
        <v>3.73</v>
      </c>
      <c r="AY54" s="8">
        <v>141.4</v>
      </c>
      <c r="AZ54" s="8">
        <v>23.3</v>
      </c>
      <c r="BA54" s="9">
        <v>0.74</v>
      </c>
      <c r="BB54" s="9">
        <v>2.07</v>
      </c>
      <c r="BC54" s="8">
        <v>143.4</v>
      </c>
      <c r="BD54" s="10">
        <v>2577</v>
      </c>
      <c r="BE54" s="10">
        <v>0</v>
      </c>
    </row>
    <row r="55" ht="15.6" spans="1:57">
      <c r="A55" s="14">
        <v>54</v>
      </c>
      <c r="B55" s="14" t="s">
        <v>109</v>
      </c>
      <c r="C55" s="15">
        <v>0</v>
      </c>
      <c r="D55" s="14">
        <v>2</v>
      </c>
      <c r="E55" s="14">
        <v>35</v>
      </c>
      <c r="F55" s="14">
        <v>0</v>
      </c>
      <c r="G55" s="14">
        <v>0</v>
      </c>
      <c r="H55" s="14">
        <v>168</v>
      </c>
      <c r="I55" s="14">
        <v>57</v>
      </c>
      <c r="J55" s="19">
        <f t="shared" si="0"/>
        <v>20.1955782312925</v>
      </c>
      <c r="K55" s="14">
        <v>0.492</v>
      </c>
      <c r="L55" s="14">
        <v>0.414</v>
      </c>
      <c r="M55" s="14">
        <v>0.075</v>
      </c>
      <c r="N55" s="14">
        <v>164</v>
      </c>
      <c r="O55" s="20">
        <f t="shared" si="1"/>
        <v>0.0891304347826087</v>
      </c>
      <c r="P55" s="20">
        <f t="shared" si="2"/>
        <v>1.18840579710145</v>
      </c>
      <c r="Q55" s="20">
        <f t="shared" si="3"/>
        <v>0.0204995368421053</v>
      </c>
      <c r="R55" s="20">
        <f t="shared" si="4"/>
        <v>2.94736842105263</v>
      </c>
      <c r="S55" s="23">
        <v>1</v>
      </c>
      <c r="T55" s="14">
        <v>1</v>
      </c>
      <c r="U55" s="14">
        <v>1</v>
      </c>
      <c r="V55" s="14">
        <v>0</v>
      </c>
      <c r="W55" s="14">
        <v>0</v>
      </c>
      <c r="X55" s="14">
        <v>3</v>
      </c>
      <c r="Y55" s="14">
        <v>1</v>
      </c>
      <c r="Z55" s="14">
        <v>0</v>
      </c>
      <c r="AA55" s="20">
        <v>1.027</v>
      </c>
      <c r="AB55" s="1">
        <v>6.7</v>
      </c>
      <c r="AC55" s="1">
        <v>127</v>
      </c>
      <c r="AD55" s="1">
        <v>5.31</v>
      </c>
      <c r="AE55" s="7">
        <v>0.375</v>
      </c>
      <c r="AF55" s="8">
        <v>87.6</v>
      </c>
      <c r="AG55" s="1">
        <v>339</v>
      </c>
      <c r="AH55" s="8">
        <v>11.2</v>
      </c>
      <c r="AI55" s="8">
        <v>36.4</v>
      </c>
      <c r="AJ55" s="9">
        <v>2.2</v>
      </c>
      <c r="AK55" s="8">
        <v>36.8</v>
      </c>
      <c r="AL55" s="8">
        <v>3</v>
      </c>
      <c r="AM55" s="8">
        <v>0.7</v>
      </c>
      <c r="AN55" s="9">
        <v>8.7</v>
      </c>
      <c r="AO55" s="8">
        <v>10.8</v>
      </c>
      <c r="AP55" s="9">
        <v>5.79</v>
      </c>
      <c r="AQ55" s="9">
        <v>3.3</v>
      </c>
      <c r="AR55" s="8">
        <v>57.8</v>
      </c>
      <c r="AS55" s="8">
        <v>268.6</v>
      </c>
      <c r="AT55" s="9">
        <v>3.84</v>
      </c>
      <c r="AU55" s="9">
        <v>1.11</v>
      </c>
      <c r="AV55" s="9">
        <v>2.14</v>
      </c>
      <c r="AW55" s="9">
        <v>1.39</v>
      </c>
      <c r="AX55" s="9">
        <v>3.46</v>
      </c>
      <c r="AY55" s="8">
        <v>140.9</v>
      </c>
      <c r="AZ55" s="8">
        <v>22.2</v>
      </c>
      <c r="BA55" s="9">
        <v>1.2</v>
      </c>
      <c r="BB55" s="9">
        <v>2.34</v>
      </c>
      <c r="BC55" s="8">
        <v>156.6</v>
      </c>
      <c r="BD55" s="10">
        <v>2573</v>
      </c>
      <c r="BE55" s="10">
        <v>0</v>
      </c>
    </row>
    <row r="56" ht="15.6" spans="1:57">
      <c r="A56" s="14">
        <v>55</v>
      </c>
      <c r="B56" s="14" t="s">
        <v>110</v>
      </c>
      <c r="C56" s="15">
        <v>1</v>
      </c>
      <c r="D56" s="14">
        <v>1</v>
      </c>
      <c r="E56" s="14">
        <v>58</v>
      </c>
      <c r="F56" s="14">
        <v>0</v>
      </c>
      <c r="G56" s="14">
        <v>0</v>
      </c>
      <c r="H56" s="14">
        <v>170</v>
      </c>
      <c r="I56" s="14">
        <v>54</v>
      </c>
      <c r="J56" s="19">
        <f t="shared" si="0"/>
        <v>18.6851211072664</v>
      </c>
      <c r="K56" s="14">
        <v>0.707</v>
      </c>
      <c r="L56" s="14">
        <v>0.188</v>
      </c>
      <c r="M56" s="14">
        <v>0.098</v>
      </c>
      <c r="N56" s="14">
        <v>472</v>
      </c>
      <c r="O56" s="20">
        <f t="shared" si="1"/>
        <v>0.368542553191489</v>
      </c>
      <c r="P56" s="20">
        <f t="shared" si="2"/>
        <v>3.76063829787234</v>
      </c>
      <c r="Q56" s="20">
        <f t="shared" si="3"/>
        <v>0.0100614814814815</v>
      </c>
      <c r="R56" s="20">
        <f t="shared" si="4"/>
        <v>3.14814814814815</v>
      </c>
      <c r="S56" s="23">
        <v>1</v>
      </c>
      <c r="T56" s="14">
        <v>1</v>
      </c>
      <c r="U56" s="14">
        <v>3</v>
      </c>
      <c r="V56" s="14">
        <v>0</v>
      </c>
      <c r="W56" s="14">
        <v>0</v>
      </c>
      <c r="X56" s="14">
        <v>2</v>
      </c>
      <c r="Y56" s="14">
        <v>3</v>
      </c>
      <c r="Z56" s="14">
        <v>1</v>
      </c>
      <c r="AA56" s="20">
        <v>1.009</v>
      </c>
      <c r="AB56" s="1">
        <v>31.8</v>
      </c>
      <c r="AC56" s="1">
        <v>122</v>
      </c>
      <c r="AD56" s="1">
        <v>8.87</v>
      </c>
      <c r="AE56" s="7">
        <v>0.376</v>
      </c>
      <c r="AF56" s="8">
        <v>91.3</v>
      </c>
      <c r="AG56" s="1">
        <v>324</v>
      </c>
      <c r="AH56" s="8">
        <v>10.5</v>
      </c>
      <c r="AI56" s="8">
        <v>35.8</v>
      </c>
      <c r="AJ56" s="9">
        <v>6.1</v>
      </c>
      <c r="AK56" s="8">
        <v>39.3</v>
      </c>
      <c r="AL56" s="8">
        <v>6.2</v>
      </c>
      <c r="AM56" s="8">
        <v>1.4</v>
      </c>
      <c r="AN56" s="9">
        <v>12.1</v>
      </c>
      <c r="AO56" s="8">
        <v>54.6</v>
      </c>
      <c r="AP56" s="9">
        <v>4.47</v>
      </c>
      <c r="AQ56" s="9">
        <v>4</v>
      </c>
      <c r="AR56" s="8">
        <v>53.6</v>
      </c>
      <c r="AS56" s="8">
        <v>294.2</v>
      </c>
      <c r="AT56" s="9">
        <v>5.04</v>
      </c>
      <c r="AU56" s="9">
        <v>1.04</v>
      </c>
      <c r="AV56" s="9">
        <v>2.56</v>
      </c>
      <c r="AW56" s="9">
        <v>1.21</v>
      </c>
      <c r="AX56" s="9">
        <v>3.92</v>
      </c>
      <c r="AY56" s="8">
        <v>136.2</v>
      </c>
      <c r="AZ56" s="8">
        <v>29.1</v>
      </c>
      <c r="BA56" s="9">
        <v>2.13</v>
      </c>
      <c r="BB56" s="9">
        <v>2.5</v>
      </c>
      <c r="BC56" s="8">
        <v>152.5</v>
      </c>
      <c r="BD56" s="10">
        <v>1553</v>
      </c>
      <c r="BE56" s="10">
        <v>1</v>
      </c>
    </row>
    <row r="57" ht="15.6" spans="1:57">
      <c r="A57" s="14">
        <v>56</v>
      </c>
      <c r="B57" s="14" t="s">
        <v>111</v>
      </c>
      <c r="C57" s="15">
        <v>1</v>
      </c>
      <c r="D57" s="14">
        <v>1</v>
      </c>
      <c r="E57" s="14">
        <v>47</v>
      </c>
      <c r="F57" s="14">
        <v>0</v>
      </c>
      <c r="G57" s="14">
        <v>0</v>
      </c>
      <c r="H57" s="14">
        <v>167</v>
      </c>
      <c r="I57" s="14">
        <v>63</v>
      </c>
      <c r="J57" s="19">
        <f t="shared" si="0"/>
        <v>22.5895514360501</v>
      </c>
      <c r="K57" s="14">
        <v>0.815</v>
      </c>
      <c r="L57" s="14">
        <v>0.113</v>
      </c>
      <c r="M57" s="20">
        <v>0.05</v>
      </c>
      <c r="N57" s="14">
        <v>319</v>
      </c>
      <c r="O57" s="20">
        <v>0.360619469</v>
      </c>
      <c r="P57" s="20">
        <f t="shared" si="2"/>
        <v>7.21238938053097</v>
      </c>
      <c r="Q57" s="20">
        <f t="shared" si="3"/>
        <v>0.0050023126984127</v>
      </c>
      <c r="R57" s="20">
        <v>7.21238938</v>
      </c>
      <c r="S57" s="23">
        <v>1</v>
      </c>
      <c r="T57" s="14">
        <v>1</v>
      </c>
      <c r="U57" s="14">
        <v>1</v>
      </c>
      <c r="V57" s="14">
        <v>1</v>
      </c>
      <c r="W57" s="14">
        <v>1</v>
      </c>
      <c r="X57" s="14">
        <v>3</v>
      </c>
      <c r="Y57" s="14">
        <v>4</v>
      </c>
      <c r="Z57" s="1">
        <v>0</v>
      </c>
      <c r="AA57" s="20">
        <v>1.021</v>
      </c>
      <c r="AB57" s="1">
        <v>1.9</v>
      </c>
      <c r="AC57" s="1">
        <v>144</v>
      </c>
      <c r="AD57" s="1">
        <v>4.29</v>
      </c>
      <c r="AE57" s="7">
        <v>0.413</v>
      </c>
      <c r="AF57" s="8">
        <v>105.1</v>
      </c>
      <c r="AG57" s="1">
        <v>349</v>
      </c>
      <c r="AH57" s="8">
        <v>11.1</v>
      </c>
      <c r="AI57" s="8">
        <v>39.5</v>
      </c>
      <c r="AJ57" s="9">
        <v>2.2</v>
      </c>
      <c r="AK57" s="8">
        <v>41.4</v>
      </c>
      <c r="AL57" s="8">
        <v>25.1</v>
      </c>
      <c r="AM57" s="8">
        <v>7.5</v>
      </c>
      <c r="AN57" s="9">
        <v>8.2</v>
      </c>
      <c r="AO57" s="8">
        <v>24.4</v>
      </c>
      <c r="AP57" s="9">
        <v>4.2</v>
      </c>
      <c r="AQ57" s="9">
        <v>5.6</v>
      </c>
      <c r="AR57" s="8">
        <v>92</v>
      </c>
      <c r="AS57" s="8">
        <v>340.4</v>
      </c>
      <c r="AT57" s="9">
        <v>2.82</v>
      </c>
      <c r="AU57" s="9">
        <v>1.08</v>
      </c>
      <c r="AV57" s="9">
        <v>2.36</v>
      </c>
      <c r="AW57" s="9">
        <v>1.02</v>
      </c>
      <c r="AX57" s="9">
        <v>3.99</v>
      </c>
      <c r="AY57" s="8">
        <v>141.1</v>
      </c>
      <c r="AZ57" s="8">
        <v>28.5</v>
      </c>
      <c r="BA57" s="9">
        <v>0.86</v>
      </c>
      <c r="BB57" s="9">
        <v>1.67</v>
      </c>
      <c r="BC57" s="8">
        <v>176.7</v>
      </c>
      <c r="BD57" s="10">
        <v>2559</v>
      </c>
      <c r="BE57" s="10">
        <v>0</v>
      </c>
    </row>
    <row r="58" ht="15.6" spans="1:57">
      <c r="A58" s="14">
        <v>57</v>
      </c>
      <c r="B58" s="14" t="s">
        <v>112</v>
      </c>
      <c r="C58" s="15">
        <v>0</v>
      </c>
      <c r="D58" s="14">
        <v>1</v>
      </c>
      <c r="E58" s="14">
        <v>53</v>
      </c>
      <c r="F58" s="14">
        <v>0</v>
      </c>
      <c r="G58" s="14">
        <v>0</v>
      </c>
      <c r="H58" s="14">
        <v>170</v>
      </c>
      <c r="I58" s="14">
        <v>62</v>
      </c>
      <c r="J58" s="19">
        <f t="shared" si="0"/>
        <v>21.4532871972318</v>
      </c>
      <c r="K58" s="14">
        <v>0.458</v>
      </c>
      <c r="L58" s="14">
        <v>0.466</v>
      </c>
      <c r="M58" s="14">
        <v>0.065</v>
      </c>
      <c r="N58" s="14">
        <v>119</v>
      </c>
      <c r="O58" s="20">
        <f t="shared" ref="O58:O121" si="5">K58*M58/L58</f>
        <v>0.0638841201716738</v>
      </c>
      <c r="P58" s="21">
        <f t="shared" si="2"/>
        <v>0.982832618025751</v>
      </c>
      <c r="Q58" s="20">
        <f t="shared" si="3"/>
        <v>0.0217216129032258</v>
      </c>
      <c r="R58" s="20">
        <f t="shared" ref="R58:R121" si="6">H58/I58</f>
        <v>2.74193548387097</v>
      </c>
      <c r="S58" s="23">
        <v>2</v>
      </c>
      <c r="T58" s="14">
        <v>2</v>
      </c>
      <c r="U58" s="14">
        <v>2</v>
      </c>
      <c r="V58" s="14">
        <v>1</v>
      </c>
      <c r="W58" s="14">
        <v>1</v>
      </c>
      <c r="X58" s="14">
        <v>3</v>
      </c>
      <c r="Y58" s="14">
        <v>4</v>
      </c>
      <c r="Z58" s="14">
        <v>0</v>
      </c>
      <c r="AA58" s="20">
        <v>1.024</v>
      </c>
      <c r="AB58" s="1">
        <v>10.8</v>
      </c>
      <c r="AC58" s="1">
        <v>165</v>
      </c>
      <c r="AD58" s="1">
        <v>4.44</v>
      </c>
      <c r="AE58" s="7">
        <v>0.468</v>
      </c>
      <c r="AF58" s="8">
        <v>91.9</v>
      </c>
      <c r="AG58" s="1">
        <v>353</v>
      </c>
      <c r="AH58" s="8">
        <v>11.2</v>
      </c>
      <c r="AI58" s="8">
        <v>37</v>
      </c>
      <c r="AJ58" s="9">
        <v>2.8</v>
      </c>
      <c r="AK58" s="8">
        <v>42.3</v>
      </c>
      <c r="AL58" s="8">
        <v>18.4</v>
      </c>
      <c r="AM58" s="8">
        <v>4.9</v>
      </c>
      <c r="AN58" s="9">
        <v>20.4</v>
      </c>
      <c r="AO58" s="8">
        <v>13.5</v>
      </c>
      <c r="AP58" s="9">
        <v>5.25</v>
      </c>
      <c r="AQ58" s="1">
        <v>5.13</v>
      </c>
      <c r="AR58" s="8">
        <v>85.8</v>
      </c>
      <c r="AS58" s="8">
        <v>428.7</v>
      </c>
      <c r="AT58" s="9">
        <v>4.3</v>
      </c>
      <c r="AU58" s="9">
        <v>1.44</v>
      </c>
      <c r="AV58" s="9">
        <v>2.31</v>
      </c>
      <c r="AW58" s="9">
        <v>1.15</v>
      </c>
      <c r="AX58" s="9">
        <v>4.29</v>
      </c>
      <c r="AY58" s="8">
        <v>144.3</v>
      </c>
      <c r="AZ58" s="8">
        <v>28.1</v>
      </c>
      <c r="BA58" s="9">
        <v>0.67</v>
      </c>
      <c r="BB58" s="9">
        <v>3.26</v>
      </c>
      <c r="BC58" s="8">
        <v>152.1</v>
      </c>
      <c r="BD58" s="10">
        <v>2556</v>
      </c>
      <c r="BE58" s="10">
        <v>0</v>
      </c>
    </row>
    <row r="59" ht="15.6" spans="1:57">
      <c r="A59" s="14">
        <v>58</v>
      </c>
      <c r="B59" s="14" t="s">
        <v>113</v>
      </c>
      <c r="C59" s="15">
        <v>0</v>
      </c>
      <c r="D59" s="14">
        <v>1</v>
      </c>
      <c r="E59" s="14">
        <v>46</v>
      </c>
      <c r="F59" s="14">
        <v>0</v>
      </c>
      <c r="G59" s="14">
        <v>0</v>
      </c>
      <c r="H59" s="14">
        <v>180</v>
      </c>
      <c r="I59" s="14">
        <v>83</v>
      </c>
      <c r="J59" s="19">
        <f t="shared" si="0"/>
        <v>25.6172839506173</v>
      </c>
      <c r="K59" s="14">
        <v>0.634</v>
      </c>
      <c r="L59" s="14">
        <v>0.254</v>
      </c>
      <c r="M59" s="14">
        <v>0.089</v>
      </c>
      <c r="N59" s="14">
        <v>314</v>
      </c>
      <c r="O59" s="20">
        <f t="shared" si="5"/>
        <v>0.222149606299213</v>
      </c>
      <c r="P59" s="20">
        <f t="shared" si="2"/>
        <v>2.49606299212598</v>
      </c>
      <c r="Q59" s="20">
        <f t="shared" si="3"/>
        <v>0.00991518072289157</v>
      </c>
      <c r="R59" s="20">
        <f t="shared" si="6"/>
        <v>2.16867469879518</v>
      </c>
      <c r="S59" s="23">
        <v>1</v>
      </c>
      <c r="T59" s="14">
        <v>2</v>
      </c>
      <c r="U59" s="14">
        <v>2</v>
      </c>
      <c r="V59" s="14">
        <v>0</v>
      </c>
      <c r="W59" s="14">
        <v>0</v>
      </c>
      <c r="X59" s="14">
        <v>2</v>
      </c>
      <c r="Y59" s="14">
        <v>2</v>
      </c>
      <c r="Z59" s="1">
        <v>0</v>
      </c>
      <c r="AA59" s="20">
        <v>1.029</v>
      </c>
      <c r="AB59" s="1">
        <v>12.5</v>
      </c>
      <c r="AC59" s="1">
        <v>139</v>
      </c>
      <c r="AD59" s="1">
        <v>6.42</v>
      </c>
      <c r="AE59" s="7">
        <v>0.411</v>
      </c>
      <c r="AF59" s="8">
        <v>83</v>
      </c>
      <c r="AG59" s="1">
        <v>338</v>
      </c>
      <c r="AH59" s="8">
        <v>9.9</v>
      </c>
      <c r="AI59" s="8">
        <v>38.2</v>
      </c>
      <c r="AJ59" s="9">
        <v>4.22</v>
      </c>
      <c r="AK59" s="8">
        <v>41.6</v>
      </c>
      <c r="AL59" s="8">
        <v>11.8</v>
      </c>
      <c r="AM59" s="8">
        <v>4.1</v>
      </c>
      <c r="AN59" s="9">
        <v>11.8</v>
      </c>
      <c r="AO59" s="8">
        <v>13.3</v>
      </c>
      <c r="AP59" s="9">
        <v>4.68</v>
      </c>
      <c r="AQ59" s="9">
        <v>4.4</v>
      </c>
      <c r="AR59" s="8">
        <v>90.5</v>
      </c>
      <c r="AS59" s="8">
        <v>392.7</v>
      </c>
      <c r="AT59" s="9">
        <v>4.21</v>
      </c>
      <c r="AU59" s="9">
        <v>1.04</v>
      </c>
      <c r="AV59" s="9">
        <v>2.31</v>
      </c>
      <c r="AW59" s="9">
        <v>1.33</v>
      </c>
      <c r="AX59" s="9">
        <v>4.08</v>
      </c>
      <c r="AY59" s="8">
        <v>145.5</v>
      </c>
      <c r="AZ59" s="8">
        <v>27.5</v>
      </c>
      <c r="BA59" s="9">
        <v>1.01</v>
      </c>
      <c r="BB59" s="9">
        <v>2.89</v>
      </c>
      <c r="BC59" s="8">
        <v>151.3</v>
      </c>
      <c r="BD59" s="10">
        <v>2550</v>
      </c>
      <c r="BE59" s="10">
        <v>0</v>
      </c>
    </row>
    <row r="60" ht="15.6" spans="1:57">
      <c r="A60" s="14">
        <v>59</v>
      </c>
      <c r="B60" s="14" t="s">
        <v>114</v>
      </c>
      <c r="C60" s="15">
        <v>1</v>
      </c>
      <c r="D60" s="14">
        <v>2</v>
      </c>
      <c r="E60" s="14">
        <v>76</v>
      </c>
      <c r="F60" s="14">
        <v>0</v>
      </c>
      <c r="G60" s="14">
        <v>0</v>
      </c>
      <c r="H60" s="14">
        <v>155</v>
      </c>
      <c r="I60" s="14">
        <v>52</v>
      </c>
      <c r="J60" s="19">
        <f t="shared" si="0"/>
        <v>21.6441207075963</v>
      </c>
      <c r="K60" s="1">
        <v>0.714</v>
      </c>
      <c r="L60" s="1">
        <v>0.178</v>
      </c>
      <c r="M60" s="1">
        <v>0.056</v>
      </c>
      <c r="N60" s="1">
        <v>310</v>
      </c>
      <c r="O60" s="20">
        <f t="shared" si="5"/>
        <v>0.224629213483146</v>
      </c>
      <c r="P60" s="20">
        <f t="shared" si="2"/>
        <v>4.01123595505618</v>
      </c>
      <c r="Q60" s="20">
        <f t="shared" si="3"/>
        <v>0.00822394230769231</v>
      </c>
      <c r="R60" s="20">
        <f t="shared" si="6"/>
        <v>2.98076923076923</v>
      </c>
      <c r="S60" s="23">
        <v>3</v>
      </c>
      <c r="T60" s="14">
        <v>1</v>
      </c>
      <c r="U60" s="14">
        <v>2</v>
      </c>
      <c r="V60" s="14">
        <v>1</v>
      </c>
      <c r="W60" s="14">
        <v>1</v>
      </c>
      <c r="X60" s="14">
        <v>3</v>
      </c>
      <c r="Y60" s="14">
        <v>4</v>
      </c>
      <c r="Z60" s="14">
        <v>0</v>
      </c>
      <c r="AA60" s="20">
        <v>1.007</v>
      </c>
      <c r="AB60" s="1">
        <v>1.6</v>
      </c>
      <c r="AC60" s="1">
        <v>130</v>
      </c>
      <c r="AD60" s="1">
        <v>7.53</v>
      </c>
      <c r="AE60" s="7">
        <v>0.397</v>
      </c>
      <c r="AF60" s="8">
        <v>91.1</v>
      </c>
      <c r="AG60" s="1">
        <v>327</v>
      </c>
      <c r="AH60" s="8">
        <v>9.9</v>
      </c>
      <c r="AI60" s="8">
        <v>34.9</v>
      </c>
      <c r="AJ60" s="9">
        <v>3.32</v>
      </c>
      <c r="AK60" s="8">
        <v>39.5</v>
      </c>
      <c r="AL60" s="8">
        <v>7.6</v>
      </c>
      <c r="AM60" s="8">
        <v>1.5</v>
      </c>
      <c r="AN60" s="9">
        <v>9.9</v>
      </c>
      <c r="AO60" s="8">
        <v>24.8</v>
      </c>
      <c r="AP60" s="9">
        <v>4.44</v>
      </c>
      <c r="AQ60" s="9">
        <v>3.9</v>
      </c>
      <c r="AR60" s="8">
        <v>60.7</v>
      </c>
      <c r="AS60" s="8">
        <v>363.6</v>
      </c>
      <c r="AT60" s="9">
        <v>5.81</v>
      </c>
      <c r="AU60" s="9">
        <v>1.57</v>
      </c>
      <c r="AV60" s="9">
        <v>2.31</v>
      </c>
      <c r="AW60" s="9">
        <v>1.04</v>
      </c>
      <c r="AX60" s="9">
        <v>4.55</v>
      </c>
      <c r="AY60" s="8">
        <v>148.3</v>
      </c>
      <c r="AZ60" s="8">
        <v>27.9</v>
      </c>
      <c r="BA60" s="9">
        <v>1.4</v>
      </c>
      <c r="BB60" s="9">
        <v>3.89</v>
      </c>
      <c r="BC60" s="8">
        <v>155.2</v>
      </c>
      <c r="BD60" s="10">
        <v>1092</v>
      </c>
      <c r="BE60" s="10">
        <v>1</v>
      </c>
    </row>
    <row r="61" ht="15.6" spans="1:57">
      <c r="A61" s="14">
        <v>60</v>
      </c>
      <c r="B61" s="14" t="s">
        <v>115</v>
      </c>
      <c r="C61" s="15">
        <v>0</v>
      </c>
      <c r="D61" s="14">
        <v>1</v>
      </c>
      <c r="E61" s="14">
        <v>39</v>
      </c>
      <c r="F61" s="14">
        <v>0</v>
      </c>
      <c r="G61" s="14">
        <v>0</v>
      </c>
      <c r="H61" s="14">
        <v>168</v>
      </c>
      <c r="I61" s="14">
        <v>64</v>
      </c>
      <c r="J61" s="19">
        <f t="shared" si="0"/>
        <v>22.6757369614512</v>
      </c>
      <c r="K61" s="14">
        <v>0.596</v>
      </c>
      <c r="L61" s="14">
        <v>0.313</v>
      </c>
      <c r="M61" s="14">
        <v>0.054</v>
      </c>
      <c r="N61" s="14">
        <v>193</v>
      </c>
      <c r="O61" s="20">
        <f t="shared" si="5"/>
        <v>0.10282428115016</v>
      </c>
      <c r="P61" s="20">
        <f t="shared" si="2"/>
        <v>1.90415335463259</v>
      </c>
      <c r="Q61" s="20">
        <f t="shared" si="3"/>
        <v>0.0138033</v>
      </c>
      <c r="R61" s="20">
        <f t="shared" si="6"/>
        <v>2.625</v>
      </c>
      <c r="S61" s="23">
        <v>1</v>
      </c>
      <c r="T61" s="14">
        <v>1</v>
      </c>
      <c r="U61" s="14">
        <v>1</v>
      </c>
      <c r="V61" s="14">
        <v>0</v>
      </c>
      <c r="W61" s="14">
        <v>0</v>
      </c>
      <c r="X61" s="14">
        <v>3</v>
      </c>
      <c r="Y61" s="14">
        <v>1</v>
      </c>
      <c r="Z61" s="14">
        <v>0</v>
      </c>
      <c r="AA61" s="20">
        <v>1.029</v>
      </c>
      <c r="AB61" s="1">
        <v>2.4</v>
      </c>
      <c r="AC61" s="1">
        <v>168</v>
      </c>
      <c r="AD61" s="1">
        <v>7.44</v>
      </c>
      <c r="AE61" s="7">
        <v>0.487</v>
      </c>
      <c r="AF61" s="8">
        <v>89</v>
      </c>
      <c r="AG61" s="1">
        <v>345</v>
      </c>
      <c r="AH61" s="8">
        <v>10.4</v>
      </c>
      <c r="AI61" s="8">
        <v>38.5</v>
      </c>
      <c r="AJ61" s="9">
        <v>3.32</v>
      </c>
      <c r="AK61" s="8">
        <v>47.3</v>
      </c>
      <c r="AL61" s="8">
        <v>9.2</v>
      </c>
      <c r="AM61" s="8">
        <v>2</v>
      </c>
      <c r="AN61" s="9">
        <v>12.9</v>
      </c>
      <c r="AO61" s="8">
        <v>28.3</v>
      </c>
      <c r="AP61" s="9">
        <v>4.39</v>
      </c>
      <c r="AQ61" s="1">
        <v>6.75</v>
      </c>
      <c r="AR61" s="8">
        <v>81.5</v>
      </c>
      <c r="AS61" s="8">
        <v>380.9</v>
      </c>
      <c r="AT61" s="9">
        <v>6.06</v>
      </c>
      <c r="AU61" s="9">
        <v>2.4</v>
      </c>
      <c r="AV61" s="9">
        <v>2.28</v>
      </c>
      <c r="AW61" s="9">
        <v>1.18</v>
      </c>
      <c r="AX61" s="9">
        <v>4.29</v>
      </c>
      <c r="AY61" s="8">
        <v>139.6</v>
      </c>
      <c r="AZ61" s="8">
        <v>29.6</v>
      </c>
      <c r="BA61" s="9">
        <v>1.24</v>
      </c>
      <c r="BB61" s="9">
        <v>4.12</v>
      </c>
      <c r="BC61" s="8">
        <v>165.8</v>
      </c>
      <c r="BD61" s="10">
        <v>2536</v>
      </c>
      <c r="BE61" s="10">
        <v>0</v>
      </c>
    </row>
    <row r="62" ht="15.6" spans="1:57">
      <c r="A62" s="14">
        <v>61</v>
      </c>
      <c r="B62" s="14" t="s">
        <v>116</v>
      </c>
      <c r="C62" s="15">
        <v>1</v>
      </c>
      <c r="D62" s="14">
        <v>1</v>
      </c>
      <c r="E62" s="14">
        <v>63</v>
      </c>
      <c r="F62" s="14">
        <v>1</v>
      </c>
      <c r="G62" s="14">
        <v>0</v>
      </c>
      <c r="H62" s="14">
        <v>172</v>
      </c>
      <c r="I62" s="14">
        <v>55</v>
      </c>
      <c r="J62" s="19">
        <f t="shared" si="0"/>
        <v>18.5911303407247</v>
      </c>
      <c r="K62" s="14">
        <v>0.576</v>
      </c>
      <c r="L62" s="20">
        <v>0.26</v>
      </c>
      <c r="M62" s="14">
        <v>0.066</v>
      </c>
      <c r="N62" s="14">
        <v>166</v>
      </c>
      <c r="O62" s="20">
        <f t="shared" si="5"/>
        <v>0.146215384615385</v>
      </c>
      <c r="P62" s="20">
        <f t="shared" si="2"/>
        <v>2.21538461538461</v>
      </c>
      <c r="Q62" s="20">
        <f t="shared" si="3"/>
        <v>0.0139851636363636</v>
      </c>
      <c r="R62" s="20">
        <f t="shared" si="6"/>
        <v>3.12727272727273</v>
      </c>
      <c r="S62" s="23">
        <v>1</v>
      </c>
      <c r="T62" s="14">
        <v>1</v>
      </c>
      <c r="U62" s="14">
        <v>2</v>
      </c>
      <c r="V62" s="14">
        <v>1</v>
      </c>
      <c r="W62" s="14">
        <v>1</v>
      </c>
      <c r="X62" s="14">
        <v>2</v>
      </c>
      <c r="Y62" s="14">
        <v>4</v>
      </c>
      <c r="Z62" s="1">
        <v>0</v>
      </c>
      <c r="AA62" s="20">
        <v>1.008</v>
      </c>
      <c r="AB62" s="1">
        <v>4.4</v>
      </c>
      <c r="AC62" s="1">
        <v>105</v>
      </c>
      <c r="AD62" s="1">
        <v>5.47</v>
      </c>
      <c r="AE62" s="7">
        <v>0.328</v>
      </c>
      <c r="AF62" s="8">
        <v>95.3</v>
      </c>
      <c r="AG62" s="1">
        <v>320</v>
      </c>
      <c r="AH62" s="8">
        <v>11.1</v>
      </c>
      <c r="AI62" s="8">
        <v>41.7</v>
      </c>
      <c r="AJ62" s="9">
        <v>3.45</v>
      </c>
      <c r="AK62" s="8">
        <v>39.2</v>
      </c>
      <c r="AL62" s="8">
        <v>9.7</v>
      </c>
      <c r="AM62" s="8">
        <v>3.6</v>
      </c>
      <c r="AN62" s="9">
        <v>28.6</v>
      </c>
      <c r="AO62" s="8">
        <v>13.1</v>
      </c>
      <c r="AP62" s="9">
        <v>3.91</v>
      </c>
      <c r="AQ62" s="1">
        <v>22.46</v>
      </c>
      <c r="AR62" s="8">
        <v>1012.7</v>
      </c>
      <c r="AS62" s="8">
        <v>294.2</v>
      </c>
      <c r="AT62" s="9">
        <v>2.66</v>
      </c>
      <c r="AU62" s="9">
        <v>0.63</v>
      </c>
      <c r="AV62" s="9">
        <v>2.17</v>
      </c>
      <c r="AW62" s="9">
        <v>1.41</v>
      </c>
      <c r="AX62" s="9">
        <v>5.88</v>
      </c>
      <c r="AY62" s="8">
        <v>146.1</v>
      </c>
      <c r="AZ62" s="8">
        <v>26.1</v>
      </c>
      <c r="BA62" s="9">
        <v>1.33</v>
      </c>
      <c r="BB62" s="9">
        <v>1.22</v>
      </c>
      <c r="BC62" s="8">
        <v>172.8</v>
      </c>
      <c r="BD62" s="10">
        <v>427</v>
      </c>
      <c r="BE62" s="10">
        <v>1</v>
      </c>
    </row>
    <row r="63" ht="15.6" spans="1:57">
      <c r="A63" s="14">
        <v>62</v>
      </c>
      <c r="B63" s="14">
        <v>610440</v>
      </c>
      <c r="C63" s="15">
        <v>1</v>
      </c>
      <c r="D63" s="14">
        <v>1</v>
      </c>
      <c r="E63" s="14">
        <v>76</v>
      </c>
      <c r="F63" s="14">
        <v>0</v>
      </c>
      <c r="G63" s="14">
        <v>0</v>
      </c>
      <c r="H63" s="14">
        <v>168</v>
      </c>
      <c r="I63" s="14">
        <v>61</v>
      </c>
      <c r="J63" s="19">
        <f t="shared" si="0"/>
        <v>21.6128117913832</v>
      </c>
      <c r="K63" s="14">
        <v>0.711</v>
      </c>
      <c r="L63" s="14">
        <v>0.197</v>
      </c>
      <c r="M63" s="14">
        <v>0.066</v>
      </c>
      <c r="N63" s="14">
        <v>160</v>
      </c>
      <c r="O63" s="20">
        <f t="shared" si="5"/>
        <v>0.238203045685279</v>
      </c>
      <c r="P63" s="20">
        <f t="shared" si="2"/>
        <v>3.60913705583756</v>
      </c>
      <c r="Q63" s="20">
        <f t="shared" si="3"/>
        <v>0.00911496393442623</v>
      </c>
      <c r="R63" s="20">
        <f t="shared" si="6"/>
        <v>2.75409836065574</v>
      </c>
      <c r="S63" s="23">
        <v>3</v>
      </c>
      <c r="T63" s="14">
        <v>2</v>
      </c>
      <c r="U63" s="14">
        <v>1</v>
      </c>
      <c r="V63" s="14">
        <v>2</v>
      </c>
      <c r="W63" s="14">
        <v>1</v>
      </c>
      <c r="X63" s="14">
        <v>1</v>
      </c>
      <c r="Y63" s="14">
        <v>4</v>
      </c>
      <c r="Z63" s="14">
        <v>0</v>
      </c>
      <c r="AA63" s="20">
        <v>1.012</v>
      </c>
      <c r="AB63" s="1">
        <v>1.8</v>
      </c>
      <c r="AC63" s="1">
        <v>139</v>
      </c>
      <c r="AD63" s="1">
        <v>3.96</v>
      </c>
      <c r="AE63" s="7">
        <v>0.405</v>
      </c>
      <c r="AF63" s="8">
        <v>91</v>
      </c>
      <c r="AG63" s="1">
        <v>343</v>
      </c>
      <c r="AH63" s="8">
        <v>9.9</v>
      </c>
      <c r="AI63" s="8">
        <v>32.6</v>
      </c>
      <c r="AJ63" s="9">
        <v>2.6</v>
      </c>
      <c r="AK63" s="8">
        <v>39.1</v>
      </c>
      <c r="AL63" s="8">
        <v>11.5</v>
      </c>
      <c r="AM63" s="8">
        <v>2.8</v>
      </c>
      <c r="AN63" s="9">
        <v>10.6</v>
      </c>
      <c r="AO63" s="8">
        <v>20.1</v>
      </c>
      <c r="AP63" s="9">
        <v>5.4</v>
      </c>
      <c r="AQ63" s="1">
        <v>4.16</v>
      </c>
      <c r="AR63" s="8">
        <v>81.7</v>
      </c>
      <c r="AS63" s="8">
        <v>252.3</v>
      </c>
      <c r="AT63" s="9">
        <v>3.92</v>
      </c>
      <c r="AU63" s="9">
        <v>1.14</v>
      </c>
      <c r="AV63" s="9">
        <v>2.19</v>
      </c>
      <c r="AW63" s="9">
        <v>0.88</v>
      </c>
      <c r="AX63" s="9">
        <v>4.02</v>
      </c>
      <c r="AY63" s="8">
        <v>142.9</v>
      </c>
      <c r="AZ63" s="8">
        <v>28.6</v>
      </c>
      <c r="BA63" s="9">
        <v>2</v>
      </c>
      <c r="BB63" s="9">
        <v>1.77</v>
      </c>
      <c r="BC63" s="8">
        <v>187.9</v>
      </c>
      <c r="BD63" s="10">
        <v>266</v>
      </c>
      <c r="BE63" s="10">
        <v>1</v>
      </c>
    </row>
    <row r="64" ht="15.6" spans="1:57">
      <c r="A64" s="14">
        <v>63</v>
      </c>
      <c r="B64" s="14" t="s">
        <v>117</v>
      </c>
      <c r="C64" s="15">
        <v>0</v>
      </c>
      <c r="D64" s="14">
        <v>1</v>
      </c>
      <c r="E64" s="14">
        <v>68</v>
      </c>
      <c r="F64" s="14">
        <v>0</v>
      </c>
      <c r="G64" s="14">
        <v>0</v>
      </c>
      <c r="H64" s="14">
        <v>172</v>
      </c>
      <c r="I64" s="14">
        <v>76</v>
      </c>
      <c r="J64" s="19">
        <f t="shared" si="0"/>
        <v>25.6895619253651</v>
      </c>
      <c r="K64" s="14">
        <v>0.521</v>
      </c>
      <c r="L64" s="14">
        <v>0.351</v>
      </c>
      <c r="M64" s="14">
        <v>0.092</v>
      </c>
      <c r="N64" s="14">
        <v>200</v>
      </c>
      <c r="O64" s="20">
        <f t="shared" si="5"/>
        <v>0.136558404558405</v>
      </c>
      <c r="P64" s="20">
        <f t="shared" si="2"/>
        <v>1.48433048433048</v>
      </c>
      <c r="Q64" s="20">
        <f t="shared" si="3"/>
        <v>0.0136631368421053</v>
      </c>
      <c r="R64" s="20">
        <f t="shared" si="6"/>
        <v>2.26315789473684</v>
      </c>
      <c r="S64" s="23">
        <v>1</v>
      </c>
      <c r="T64" s="14">
        <v>2</v>
      </c>
      <c r="U64" s="14">
        <v>3</v>
      </c>
      <c r="V64" s="14">
        <v>0</v>
      </c>
      <c r="W64" s="14">
        <v>0</v>
      </c>
      <c r="X64" s="14">
        <v>2</v>
      </c>
      <c r="Y64" s="14">
        <v>3</v>
      </c>
      <c r="Z64" s="14">
        <v>1</v>
      </c>
      <c r="AA64" s="20">
        <v>1.028</v>
      </c>
      <c r="AB64" s="1">
        <v>147.9</v>
      </c>
      <c r="AC64" s="1">
        <v>154</v>
      </c>
      <c r="AD64" s="1">
        <v>6.07</v>
      </c>
      <c r="AE64" s="7">
        <v>0.43</v>
      </c>
      <c r="AF64" s="8">
        <v>100.2</v>
      </c>
      <c r="AG64" s="1">
        <v>358</v>
      </c>
      <c r="AH64" s="8">
        <v>10.4</v>
      </c>
      <c r="AI64" s="8">
        <v>33.2</v>
      </c>
      <c r="AJ64" s="9">
        <v>4</v>
      </c>
      <c r="AK64" s="8">
        <v>41.7</v>
      </c>
      <c r="AL64" s="8">
        <v>15.3</v>
      </c>
      <c r="AM64" s="8">
        <v>5.6</v>
      </c>
      <c r="AN64" s="9">
        <v>32.7</v>
      </c>
      <c r="AO64" s="8">
        <v>26</v>
      </c>
      <c r="AP64" s="9">
        <v>4.4</v>
      </c>
      <c r="AQ64" s="1">
        <v>5.54</v>
      </c>
      <c r="AR64" s="8">
        <v>79.2</v>
      </c>
      <c r="AS64" s="8">
        <v>276.5</v>
      </c>
      <c r="AT64" s="9">
        <v>3.36</v>
      </c>
      <c r="AU64" s="9">
        <v>0.59</v>
      </c>
      <c r="AV64" s="9">
        <v>2.18</v>
      </c>
      <c r="AW64" s="9">
        <v>0.97</v>
      </c>
      <c r="AX64" s="9">
        <v>3.62</v>
      </c>
      <c r="AY64" s="8">
        <v>143.6</v>
      </c>
      <c r="AZ64" s="8">
        <v>25.3</v>
      </c>
      <c r="BA64" s="9">
        <v>0.77</v>
      </c>
      <c r="BB64" s="9">
        <v>2.39</v>
      </c>
      <c r="BC64" s="8">
        <v>123.6</v>
      </c>
      <c r="BD64" s="10">
        <v>2521</v>
      </c>
      <c r="BE64" s="10">
        <v>0</v>
      </c>
    </row>
    <row r="65" ht="15.6" spans="1:57">
      <c r="A65" s="14">
        <v>64</v>
      </c>
      <c r="B65" s="14" t="s">
        <v>118</v>
      </c>
      <c r="C65" s="15">
        <v>1</v>
      </c>
      <c r="D65" s="14">
        <v>2</v>
      </c>
      <c r="E65" s="14">
        <v>76</v>
      </c>
      <c r="F65" s="14">
        <v>0</v>
      </c>
      <c r="G65" s="14">
        <v>0</v>
      </c>
      <c r="H65" s="14">
        <v>166</v>
      </c>
      <c r="I65" s="14">
        <v>50</v>
      </c>
      <c r="J65" s="19">
        <f t="shared" si="0"/>
        <v>18.1448686311511</v>
      </c>
      <c r="K65" s="14">
        <v>0.627</v>
      </c>
      <c r="L65" s="14">
        <v>0.292</v>
      </c>
      <c r="M65" s="14">
        <v>0.058</v>
      </c>
      <c r="N65" s="14">
        <v>171</v>
      </c>
      <c r="O65" s="20">
        <f t="shared" si="5"/>
        <v>0.124541095890411</v>
      </c>
      <c r="P65" s="20">
        <f t="shared" si="2"/>
        <v>2.1472602739726</v>
      </c>
      <c r="Q65" s="20">
        <f t="shared" si="3"/>
        <v>0.016092704</v>
      </c>
      <c r="R65" s="20">
        <f t="shared" si="6"/>
        <v>3.32</v>
      </c>
      <c r="S65" s="23">
        <v>1</v>
      </c>
      <c r="T65" s="14">
        <v>1</v>
      </c>
      <c r="U65" s="14">
        <v>1</v>
      </c>
      <c r="V65" s="14">
        <v>0</v>
      </c>
      <c r="W65" s="14">
        <v>0</v>
      </c>
      <c r="X65" s="14">
        <v>1</v>
      </c>
      <c r="Y65" s="14">
        <v>1</v>
      </c>
      <c r="Z65" s="1">
        <v>0</v>
      </c>
      <c r="AA65" s="20">
        <v>1.013</v>
      </c>
      <c r="AB65" s="1">
        <v>3.8</v>
      </c>
      <c r="AC65" s="1">
        <v>129</v>
      </c>
      <c r="AD65" s="1">
        <v>5.2</v>
      </c>
      <c r="AE65" s="7">
        <v>0.393</v>
      </c>
      <c r="AF65" s="8">
        <v>88.9</v>
      </c>
      <c r="AG65" s="1">
        <v>328</v>
      </c>
      <c r="AH65" s="8">
        <v>13.2</v>
      </c>
      <c r="AI65" s="8">
        <v>27.3</v>
      </c>
      <c r="AJ65" s="9">
        <v>4.28</v>
      </c>
      <c r="AK65" s="8">
        <v>43.9</v>
      </c>
      <c r="AL65" s="8">
        <v>18.4</v>
      </c>
      <c r="AM65" s="8">
        <v>4.6</v>
      </c>
      <c r="AN65" s="9">
        <v>16.5</v>
      </c>
      <c r="AO65" s="8">
        <v>9.2</v>
      </c>
      <c r="AP65" s="9">
        <v>4.9</v>
      </c>
      <c r="AQ65" s="1">
        <v>4.25</v>
      </c>
      <c r="AR65" s="8">
        <v>65</v>
      </c>
      <c r="AS65" s="8">
        <v>214.6</v>
      </c>
      <c r="AT65" s="9">
        <v>3.68</v>
      </c>
      <c r="AU65" s="9">
        <v>0.96</v>
      </c>
      <c r="AV65" s="9">
        <v>2.26</v>
      </c>
      <c r="AW65" s="9">
        <v>1.24</v>
      </c>
      <c r="AX65" s="9">
        <v>3.69</v>
      </c>
      <c r="AY65" s="8">
        <v>145.9</v>
      </c>
      <c r="AZ65" s="8">
        <v>28.3</v>
      </c>
      <c r="BA65" s="9">
        <v>1.67</v>
      </c>
      <c r="BB65" s="9">
        <v>1.74</v>
      </c>
      <c r="BC65" s="8">
        <v>167.7</v>
      </c>
      <c r="BD65" s="10">
        <v>407</v>
      </c>
      <c r="BE65" s="10">
        <v>1</v>
      </c>
    </row>
    <row r="66" ht="15.6" spans="1:57">
      <c r="A66" s="14">
        <v>65</v>
      </c>
      <c r="B66" s="14" t="s">
        <v>119</v>
      </c>
      <c r="C66" s="15">
        <v>0</v>
      </c>
      <c r="D66" s="14">
        <v>2</v>
      </c>
      <c r="E66" s="14">
        <v>70</v>
      </c>
      <c r="F66" s="14">
        <v>1</v>
      </c>
      <c r="G66" s="14">
        <v>1</v>
      </c>
      <c r="H66" s="14">
        <v>158</v>
      </c>
      <c r="I66" s="14">
        <v>72</v>
      </c>
      <c r="J66" s="19">
        <f t="shared" ref="J66:J129" si="7">I66/((H66/100)*(H66/100))</f>
        <v>28.8415318058003</v>
      </c>
      <c r="K66" s="14">
        <v>0.393</v>
      </c>
      <c r="L66" s="14">
        <v>0.522</v>
      </c>
      <c r="M66" s="20">
        <v>0.06</v>
      </c>
      <c r="N66" s="14">
        <v>246</v>
      </c>
      <c r="O66" s="20">
        <f t="shared" si="5"/>
        <v>0.0451724137931034</v>
      </c>
      <c r="P66" s="20">
        <f t="shared" ref="P66:P129" si="8">K66/L66</f>
        <v>0.752873563218391</v>
      </c>
      <c r="Q66" s="20">
        <f t="shared" ref="Q66:Q129" si="9">L66/J66</f>
        <v>0.0180989</v>
      </c>
      <c r="R66" s="20">
        <f t="shared" si="6"/>
        <v>2.19444444444444</v>
      </c>
      <c r="S66" s="23">
        <v>1</v>
      </c>
      <c r="T66" s="14">
        <v>1</v>
      </c>
      <c r="U66" s="14">
        <v>1</v>
      </c>
      <c r="V66" s="14">
        <v>0</v>
      </c>
      <c r="W66" s="14">
        <v>0</v>
      </c>
      <c r="X66" s="14">
        <v>3</v>
      </c>
      <c r="Y66" s="14">
        <v>1</v>
      </c>
      <c r="Z66" s="14">
        <v>0</v>
      </c>
      <c r="AA66" s="20">
        <v>1.009</v>
      </c>
      <c r="AB66" s="1">
        <v>10.5</v>
      </c>
      <c r="AC66" s="1">
        <v>149</v>
      </c>
      <c r="AD66" s="1">
        <v>8.97</v>
      </c>
      <c r="AE66" s="7">
        <v>0.421</v>
      </c>
      <c r="AF66" s="8">
        <v>80.5</v>
      </c>
      <c r="AG66" s="1">
        <v>354</v>
      </c>
      <c r="AH66" s="8">
        <v>11.4</v>
      </c>
      <c r="AI66" s="8">
        <v>33.4</v>
      </c>
      <c r="AJ66" s="9">
        <v>3.4</v>
      </c>
      <c r="AK66" s="8">
        <v>42.8</v>
      </c>
      <c r="AL66" s="8">
        <v>10.8</v>
      </c>
      <c r="AM66" s="8">
        <v>2.1</v>
      </c>
      <c r="AN66" s="9">
        <v>16.4</v>
      </c>
      <c r="AO66" s="8">
        <v>14.1</v>
      </c>
      <c r="AP66" s="9">
        <v>4.14</v>
      </c>
      <c r="AQ66" s="1">
        <v>8.65</v>
      </c>
      <c r="AR66" s="8">
        <v>91.4</v>
      </c>
      <c r="AS66" s="8">
        <v>296</v>
      </c>
      <c r="AT66" s="9">
        <v>7.44</v>
      </c>
      <c r="AU66" s="9">
        <v>0.73</v>
      </c>
      <c r="AV66" s="9">
        <v>2.34</v>
      </c>
      <c r="AW66" s="9">
        <v>1.14</v>
      </c>
      <c r="AX66" s="9">
        <v>3.91</v>
      </c>
      <c r="AY66" s="8">
        <v>146.1</v>
      </c>
      <c r="AZ66" s="8">
        <v>27.7</v>
      </c>
      <c r="BA66" s="9">
        <v>2.49</v>
      </c>
      <c r="BB66" s="9">
        <v>4.81</v>
      </c>
      <c r="BC66" s="8">
        <v>214.4</v>
      </c>
      <c r="BD66" s="10">
        <v>398</v>
      </c>
      <c r="BE66" s="10">
        <v>1</v>
      </c>
    </row>
    <row r="67" ht="15.6" spans="1:57">
      <c r="A67" s="14">
        <v>66</v>
      </c>
      <c r="B67" s="14" t="s">
        <v>120</v>
      </c>
      <c r="C67" s="15">
        <v>0</v>
      </c>
      <c r="D67" s="14">
        <v>2</v>
      </c>
      <c r="E67" s="14">
        <v>66</v>
      </c>
      <c r="F67" s="14">
        <v>1</v>
      </c>
      <c r="G67" s="14">
        <v>0</v>
      </c>
      <c r="H67" s="14">
        <v>150</v>
      </c>
      <c r="I67" s="14">
        <v>61</v>
      </c>
      <c r="J67" s="19">
        <f t="shared" si="7"/>
        <v>27.1111111111111</v>
      </c>
      <c r="K67" s="14">
        <v>0.544</v>
      </c>
      <c r="L67" s="14">
        <v>0.305</v>
      </c>
      <c r="M67" s="20">
        <v>0.09</v>
      </c>
      <c r="N67" s="14">
        <v>185</v>
      </c>
      <c r="O67" s="20">
        <f t="shared" si="5"/>
        <v>0.160524590163934</v>
      </c>
      <c r="P67" s="20">
        <f t="shared" si="8"/>
        <v>1.78360655737705</v>
      </c>
      <c r="Q67" s="20">
        <f t="shared" si="9"/>
        <v>0.01125</v>
      </c>
      <c r="R67" s="20">
        <f t="shared" si="6"/>
        <v>2.45901639344262</v>
      </c>
      <c r="S67" s="23">
        <v>1</v>
      </c>
      <c r="T67" s="14">
        <v>1</v>
      </c>
      <c r="U67" s="14">
        <v>2</v>
      </c>
      <c r="V67" s="14">
        <v>0</v>
      </c>
      <c r="W67" s="14">
        <v>0</v>
      </c>
      <c r="X67" s="14">
        <v>3</v>
      </c>
      <c r="Y67" s="14">
        <v>2</v>
      </c>
      <c r="Z67" s="14">
        <v>0</v>
      </c>
      <c r="AA67" s="20">
        <v>1.029</v>
      </c>
      <c r="AB67" s="1">
        <v>5.7</v>
      </c>
      <c r="AC67" s="1">
        <v>138</v>
      </c>
      <c r="AD67" s="1">
        <v>4.43</v>
      </c>
      <c r="AE67" s="7">
        <v>0.402</v>
      </c>
      <c r="AF67" s="8">
        <v>88.7</v>
      </c>
      <c r="AG67" s="1">
        <v>343</v>
      </c>
      <c r="AH67" s="8">
        <v>10.3</v>
      </c>
      <c r="AI67" s="8">
        <v>36.9</v>
      </c>
      <c r="AJ67" s="9">
        <v>3.1</v>
      </c>
      <c r="AK67" s="8">
        <v>39.7</v>
      </c>
      <c r="AL67" s="8">
        <v>11.6</v>
      </c>
      <c r="AM67" s="8">
        <v>2.1</v>
      </c>
      <c r="AN67" s="9">
        <v>9.6</v>
      </c>
      <c r="AO67" s="8">
        <v>16.3</v>
      </c>
      <c r="AP67" s="9">
        <v>4.91</v>
      </c>
      <c r="AQ67" s="1">
        <v>7.45</v>
      </c>
      <c r="AR67" s="8">
        <v>53.4</v>
      </c>
      <c r="AS67" s="8">
        <v>314.2</v>
      </c>
      <c r="AT67" s="9">
        <v>5.04</v>
      </c>
      <c r="AU67" s="9">
        <v>0.85</v>
      </c>
      <c r="AV67" s="9">
        <v>2.22</v>
      </c>
      <c r="AW67" s="9">
        <v>1.23</v>
      </c>
      <c r="AX67" s="9">
        <v>4.17</v>
      </c>
      <c r="AY67" s="8">
        <v>145</v>
      </c>
      <c r="AZ67" s="8">
        <v>26.4</v>
      </c>
      <c r="BA67" s="9">
        <v>1.27</v>
      </c>
      <c r="BB67" s="9">
        <v>3.67</v>
      </c>
      <c r="BC67" s="8">
        <v>155.1</v>
      </c>
      <c r="BD67" s="10">
        <v>2480</v>
      </c>
      <c r="BE67" s="10">
        <v>1</v>
      </c>
    </row>
    <row r="68" ht="15.6" spans="1:57">
      <c r="A68" s="14">
        <v>67</v>
      </c>
      <c r="B68" s="14" t="s">
        <v>121</v>
      </c>
      <c r="C68" s="15">
        <v>1</v>
      </c>
      <c r="D68" s="14">
        <v>1</v>
      </c>
      <c r="E68" s="14">
        <v>49</v>
      </c>
      <c r="F68" s="14">
        <v>0</v>
      </c>
      <c r="G68" s="14">
        <v>0</v>
      </c>
      <c r="H68" s="14">
        <v>167</v>
      </c>
      <c r="I68" s="14">
        <v>65</v>
      </c>
      <c r="J68" s="19">
        <f t="shared" si="7"/>
        <v>23.3066800530675</v>
      </c>
      <c r="K68" s="20">
        <v>0.7</v>
      </c>
      <c r="L68" s="14">
        <v>0.211</v>
      </c>
      <c r="M68" s="14">
        <v>0.069</v>
      </c>
      <c r="N68" s="14">
        <v>193</v>
      </c>
      <c r="O68" s="20">
        <f t="shared" si="5"/>
        <v>0.228909952606635</v>
      </c>
      <c r="P68" s="20">
        <f t="shared" si="8"/>
        <v>3.3175355450237</v>
      </c>
      <c r="Q68" s="20">
        <f t="shared" si="9"/>
        <v>0.00905319846153846</v>
      </c>
      <c r="R68" s="20">
        <f t="shared" si="6"/>
        <v>2.56923076923077</v>
      </c>
      <c r="S68" s="23">
        <v>1</v>
      </c>
      <c r="T68" s="14">
        <v>2</v>
      </c>
      <c r="U68" s="14">
        <v>3</v>
      </c>
      <c r="V68" s="14">
        <v>1</v>
      </c>
      <c r="W68" s="14">
        <v>1</v>
      </c>
      <c r="X68" s="14">
        <v>2</v>
      </c>
      <c r="Y68" s="14">
        <v>4</v>
      </c>
      <c r="Z68" s="14">
        <v>1</v>
      </c>
      <c r="AA68" s="20">
        <v>1.021</v>
      </c>
      <c r="AB68" s="1">
        <v>10.8</v>
      </c>
      <c r="AC68" s="1">
        <v>150</v>
      </c>
      <c r="AD68" s="1">
        <v>7.39</v>
      </c>
      <c r="AE68" s="7">
        <v>0.415</v>
      </c>
      <c r="AF68" s="8">
        <v>90.2</v>
      </c>
      <c r="AG68" s="1">
        <v>361</v>
      </c>
      <c r="AH68" s="8">
        <v>9.1</v>
      </c>
      <c r="AI68" s="8">
        <v>29.8</v>
      </c>
      <c r="AJ68" s="9">
        <v>3.4</v>
      </c>
      <c r="AK68" s="8">
        <v>41.4</v>
      </c>
      <c r="AL68" s="8">
        <v>10.2</v>
      </c>
      <c r="AM68" s="8">
        <v>2.2</v>
      </c>
      <c r="AN68" s="9">
        <v>10.3</v>
      </c>
      <c r="AO68" s="8">
        <v>87.6</v>
      </c>
      <c r="AP68" s="9">
        <v>5.14</v>
      </c>
      <c r="AQ68" s="1">
        <v>6.98</v>
      </c>
      <c r="AR68" s="8">
        <v>69.6</v>
      </c>
      <c r="AS68" s="8">
        <v>350.3</v>
      </c>
      <c r="AT68" s="9">
        <v>4.54</v>
      </c>
      <c r="AU68" s="9">
        <v>1.91</v>
      </c>
      <c r="AV68" s="9">
        <v>2.2</v>
      </c>
      <c r="AW68" s="9">
        <v>0.99</v>
      </c>
      <c r="AX68" s="9">
        <v>3.79</v>
      </c>
      <c r="AY68" s="8">
        <v>141.7</v>
      </c>
      <c r="AZ68" s="8">
        <v>24.4</v>
      </c>
      <c r="BA68" s="9">
        <v>1.2</v>
      </c>
      <c r="BB68" s="9">
        <v>3.01</v>
      </c>
      <c r="BC68" s="8">
        <v>142.5</v>
      </c>
      <c r="BD68" s="10">
        <v>1429</v>
      </c>
      <c r="BE68" s="10">
        <v>1</v>
      </c>
    </row>
    <row r="69" ht="15.6" spans="1:57">
      <c r="A69" s="14">
        <v>68</v>
      </c>
      <c r="B69" s="14" t="s">
        <v>122</v>
      </c>
      <c r="C69" s="15">
        <v>1</v>
      </c>
      <c r="D69" s="14">
        <v>1</v>
      </c>
      <c r="E69" s="14">
        <v>40</v>
      </c>
      <c r="F69" s="14">
        <v>0</v>
      </c>
      <c r="G69" s="14">
        <v>0</v>
      </c>
      <c r="H69" s="14">
        <v>170</v>
      </c>
      <c r="I69" s="14">
        <v>64</v>
      </c>
      <c r="J69" s="19">
        <f t="shared" si="7"/>
        <v>22.1453287197232</v>
      </c>
      <c r="K69" s="14">
        <v>0.457</v>
      </c>
      <c r="L69" s="14">
        <v>0.438</v>
      </c>
      <c r="M69" s="14">
        <v>0.079</v>
      </c>
      <c r="N69" s="14">
        <v>220</v>
      </c>
      <c r="O69" s="20">
        <f t="shared" si="5"/>
        <v>0.0824269406392694</v>
      </c>
      <c r="P69" s="20">
        <f t="shared" si="8"/>
        <v>1.04337899543379</v>
      </c>
      <c r="Q69" s="20">
        <f t="shared" si="9"/>
        <v>0.0197784375</v>
      </c>
      <c r="R69" s="20">
        <f t="shared" si="6"/>
        <v>2.65625</v>
      </c>
      <c r="S69" s="23">
        <v>1</v>
      </c>
      <c r="T69" s="14">
        <v>1</v>
      </c>
      <c r="U69" s="14">
        <v>2</v>
      </c>
      <c r="V69" s="14">
        <v>2</v>
      </c>
      <c r="W69" s="14">
        <v>1</v>
      </c>
      <c r="X69" s="14">
        <v>2</v>
      </c>
      <c r="Y69" s="14">
        <v>4</v>
      </c>
      <c r="Z69" s="1">
        <v>0</v>
      </c>
      <c r="AA69" s="20">
        <v>1.018</v>
      </c>
      <c r="AB69" s="1">
        <v>1.5</v>
      </c>
      <c r="AC69" s="1">
        <v>148</v>
      </c>
      <c r="AD69" s="1">
        <v>7.19</v>
      </c>
      <c r="AE69" s="7">
        <v>0.422</v>
      </c>
      <c r="AF69" s="8">
        <v>87.6</v>
      </c>
      <c r="AG69" s="1">
        <v>351</v>
      </c>
      <c r="AH69" s="8">
        <v>10.2</v>
      </c>
      <c r="AI69" s="8">
        <v>41.1</v>
      </c>
      <c r="AJ69" s="9">
        <v>3.6</v>
      </c>
      <c r="AK69" s="8">
        <v>42.4</v>
      </c>
      <c r="AL69" s="8">
        <v>12.7</v>
      </c>
      <c r="AM69" s="8">
        <v>3.5</v>
      </c>
      <c r="AN69" s="9">
        <v>15.6</v>
      </c>
      <c r="AO69" s="8">
        <v>7.4</v>
      </c>
      <c r="AP69" s="9">
        <v>4.49</v>
      </c>
      <c r="AQ69" s="1">
        <v>3.74</v>
      </c>
      <c r="AR69" s="8">
        <v>91.4</v>
      </c>
      <c r="AS69" s="8">
        <v>484.2</v>
      </c>
      <c r="AT69" s="9">
        <v>3.81</v>
      </c>
      <c r="AU69" s="9">
        <v>0.96</v>
      </c>
      <c r="AV69" s="9">
        <v>2.32</v>
      </c>
      <c r="AW69" s="9">
        <v>1.43</v>
      </c>
      <c r="AX69" s="9">
        <v>4.07</v>
      </c>
      <c r="AY69" s="8">
        <v>143.6</v>
      </c>
      <c r="AZ69" s="8">
        <v>27.9</v>
      </c>
      <c r="BA69" s="9">
        <v>1.06</v>
      </c>
      <c r="BB69" s="9">
        <v>2.53</v>
      </c>
      <c r="BC69" s="8">
        <v>142.8</v>
      </c>
      <c r="BD69" s="10">
        <v>1259</v>
      </c>
      <c r="BE69" s="10">
        <v>1</v>
      </c>
    </row>
    <row r="70" ht="15.6" spans="1:57">
      <c r="A70" s="14">
        <v>69</v>
      </c>
      <c r="B70" s="14" t="s">
        <v>123</v>
      </c>
      <c r="C70" s="15">
        <v>1</v>
      </c>
      <c r="D70" s="14">
        <v>1</v>
      </c>
      <c r="E70" s="14">
        <v>60</v>
      </c>
      <c r="F70" s="14">
        <v>1</v>
      </c>
      <c r="G70" s="14">
        <v>0</v>
      </c>
      <c r="H70" s="14">
        <v>160</v>
      </c>
      <c r="I70" s="14">
        <v>59</v>
      </c>
      <c r="J70" s="19">
        <f t="shared" si="7"/>
        <v>23.046875</v>
      </c>
      <c r="K70" s="14">
        <v>0.535</v>
      </c>
      <c r="L70" s="14">
        <v>0.314</v>
      </c>
      <c r="M70" s="14">
        <v>0.063</v>
      </c>
      <c r="N70" s="14">
        <v>214</v>
      </c>
      <c r="O70" s="20">
        <f t="shared" si="5"/>
        <v>0.10734076433121</v>
      </c>
      <c r="P70" s="20">
        <f t="shared" si="8"/>
        <v>1.70382165605096</v>
      </c>
      <c r="Q70" s="20">
        <f t="shared" si="9"/>
        <v>0.013624406779661</v>
      </c>
      <c r="R70" s="20">
        <f t="shared" si="6"/>
        <v>2.71186440677966</v>
      </c>
      <c r="S70" s="23">
        <v>1</v>
      </c>
      <c r="T70" s="14">
        <v>2</v>
      </c>
      <c r="U70" s="14">
        <v>2</v>
      </c>
      <c r="V70" s="14">
        <v>1</v>
      </c>
      <c r="W70" s="14">
        <v>1</v>
      </c>
      <c r="X70" s="14">
        <v>2</v>
      </c>
      <c r="Y70" s="14">
        <v>4</v>
      </c>
      <c r="Z70" s="14">
        <v>0</v>
      </c>
      <c r="AA70" s="20">
        <v>1.015</v>
      </c>
      <c r="AB70" s="1">
        <v>6.9</v>
      </c>
      <c r="AC70" s="1">
        <v>137</v>
      </c>
      <c r="AD70" s="1">
        <v>6.88</v>
      </c>
      <c r="AE70" s="7">
        <v>0.393</v>
      </c>
      <c r="AF70" s="8">
        <v>83.8</v>
      </c>
      <c r="AG70" s="1">
        <v>349</v>
      </c>
      <c r="AH70" s="8">
        <v>11</v>
      </c>
      <c r="AI70" s="8">
        <v>36.5</v>
      </c>
      <c r="AJ70" s="9">
        <v>2.9</v>
      </c>
      <c r="AK70" s="8">
        <v>37.4</v>
      </c>
      <c r="AL70" s="8">
        <v>15.3</v>
      </c>
      <c r="AM70" s="8">
        <v>3.4</v>
      </c>
      <c r="AN70" s="9">
        <v>19</v>
      </c>
      <c r="AO70" s="8">
        <v>17.4</v>
      </c>
      <c r="AP70" s="9">
        <v>4.24</v>
      </c>
      <c r="AQ70" s="1">
        <v>6.27</v>
      </c>
      <c r="AR70" s="8">
        <v>83.1</v>
      </c>
      <c r="AS70" s="8">
        <v>489.1</v>
      </c>
      <c r="AT70" s="9">
        <v>4.56</v>
      </c>
      <c r="AU70" s="9">
        <v>2.18</v>
      </c>
      <c r="AV70" s="9">
        <v>2.15</v>
      </c>
      <c r="AW70" s="9">
        <v>1.01</v>
      </c>
      <c r="AX70" s="9">
        <v>3.93</v>
      </c>
      <c r="AY70" s="8">
        <v>141.3</v>
      </c>
      <c r="AZ70" s="8">
        <v>25.7</v>
      </c>
      <c r="BA70" s="9">
        <v>0.72</v>
      </c>
      <c r="BB70" s="9">
        <v>3.32</v>
      </c>
      <c r="BC70" s="8">
        <v>142.5</v>
      </c>
      <c r="BD70" s="10">
        <v>2419</v>
      </c>
      <c r="BE70" s="10">
        <v>0</v>
      </c>
    </row>
    <row r="71" ht="15.6" spans="1:57">
      <c r="A71" s="14">
        <v>70</v>
      </c>
      <c r="B71" s="14" t="s">
        <v>124</v>
      </c>
      <c r="C71" s="15">
        <v>1</v>
      </c>
      <c r="D71" s="14">
        <v>1</v>
      </c>
      <c r="E71" s="14">
        <v>60</v>
      </c>
      <c r="F71" s="14">
        <v>0</v>
      </c>
      <c r="G71" s="14">
        <v>0</v>
      </c>
      <c r="H71" s="14">
        <v>153</v>
      </c>
      <c r="I71" s="14">
        <v>58</v>
      </c>
      <c r="J71" s="19">
        <f t="shared" si="7"/>
        <v>24.7767952496903</v>
      </c>
      <c r="K71" s="14">
        <v>0.529</v>
      </c>
      <c r="L71" s="14">
        <v>0.349</v>
      </c>
      <c r="M71" s="20">
        <v>0.09</v>
      </c>
      <c r="N71" s="14">
        <v>228</v>
      </c>
      <c r="O71" s="20">
        <f t="shared" si="5"/>
        <v>0.136418338108883</v>
      </c>
      <c r="P71" s="20">
        <f t="shared" si="8"/>
        <v>1.51575931232092</v>
      </c>
      <c r="Q71" s="20">
        <f t="shared" si="9"/>
        <v>0.0140857603448276</v>
      </c>
      <c r="R71" s="20">
        <f t="shared" si="6"/>
        <v>2.63793103448276</v>
      </c>
      <c r="S71" s="23">
        <v>1</v>
      </c>
      <c r="T71" s="14">
        <v>2</v>
      </c>
      <c r="U71" s="14">
        <v>2</v>
      </c>
      <c r="V71" s="14">
        <v>1</v>
      </c>
      <c r="W71" s="14">
        <v>1</v>
      </c>
      <c r="X71" s="14">
        <v>3</v>
      </c>
      <c r="Y71" s="14">
        <v>4</v>
      </c>
      <c r="Z71" s="1">
        <v>0</v>
      </c>
      <c r="AA71" s="20">
        <v>1.012</v>
      </c>
      <c r="AB71" s="1">
        <v>9.5</v>
      </c>
      <c r="AC71" s="1">
        <v>153</v>
      </c>
      <c r="AD71" s="1">
        <v>6.25</v>
      </c>
      <c r="AE71" s="7">
        <v>0.469</v>
      </c>
      <c r="AF71" s="8">
        <v>90.2</v>
      </c>
      <c r="AG71" s="1">
        <v>326</v>
      </c>
      <c r="AH71" s="8">
        <v>10.5</v>
      </c>
      <c r="AI71" s="8">
        <v>39.1</v>
      </c>
      <c r="AJ71" s="9">
        <v>3.3</v>
      </c>
      <c r="AK71" s="8">
        <v>44.8</v>
      </c>
      <c r="AL71" s="8">
        <v>15.8</v>
      </c>
      <c r="AM71" s="8">
        <v>2.8</v>
      </c>
      <c r="AN71" s="9">
        <v>15</v>
      </c>
      <c r="AO71" s="8">
        <v>34.7</v>
      </c>
      <c r="AP71" s="9">
        <v>4.78</v>
      </c>
      <c r="AQ71" s="1">
        <v>5.14</v>
      </c>
      <c r="AR71" s="8">
        <v>78.6</v>
      </c>
      <c r="AS71" s="8">
        <v>351.7</v>
      </c>
      <c r="AT71" s="9">
        <v>6.25</v>
      </c>
      <c r="AU71" s="9">
        <v>1.66</v>
      </c>
      <c r="AV71" s="9">
        <v>2.29</v>
      </c>
      <c r="AW71" s="9">
        <v>1.08</v>
      </c>
      <c r="AX71" s="9">
        <v>4.01</v>
      </c>
      <c r="AY71" s="8">
        <v>141.3</v>
      </c>
      <c r="AZ71" s="8">
        <v>28.8</v>
      </c>
      <c r="BA71" s="9">
        <v>1.57</v>
      </c>
      <c r="BB71" s="9">
        <v>4.42</v>
      </c>
      <c r="BC71" s="8">
        <v>180.4</v>
      </c>
      <c r="BD71" s="10">
        <v>2184</v>
      </c>
      <c r="BE71" s="10">
        <v>1</v>
      </c>
    </row>
    <row r="72" ht="15.6" spans="1:57">
      <c r="A72" s="14">
        <v>71</v>
      </c>
      <c r="B72" s="14" t="s">
        <v>125</v>
      </c>
      <c r="C72" s="15">
        <v>1</v>
      </c>
      <c r="D72" s="14">
        <v>1</v>
      </c>
      <c r="E72" s="14">
        <v>63</v>
      </c>
      <c r="F72" s="14">
        <v>0</v>
      </c>
      <c r="G72" s="14">
        <v>0</v>
      </c>
      <c r="H72" s="14">
        <v>178</v>
      </c>
      <c r="I72" s="14">
        <v>58</v>
      </c>
      <c r="J72" s="19">
        <f t="shared" si="7"/>
        <v>18.3057694735513</v>
      </c>
      <c r="K72" s="14">
        <v>0.633</v>
      </c>
      <c r="L72" s="14">
        <v>0.251</v>
      </c>
      <c r="M72" s="14">
        <v>0.064</v>
      </c>
      <c r="N72" s="14">
        <v>292</v>
      </c>
      <c r="O72" s="20">
        <f t="shared" si="5"/>
        <v>0.161402390438247</v>
      </c>
      <c r="P72" s="20">
        <f t="shared" si="8"/>
        <v>2.52191235059761</v>
      </c>
      <c r="Q72" s="20">
        <f t="shared" si="9"/>
        <v>0.013711524137931</v>
      </c>
      <c r="R72" s="20">
        <f t="shared" si="6"/>
        <v>3.06896551724138</v>
      </c>
      <c r="S72" s="23">
        <v>1</v>
      </c>
      <c r="T72" s="14">
        <v>1</v>
      </c>
      <c r="U72" s="14">
        <v>2</v>
      </c>
      <c r="V72" s="14">
        <v>1</v>
      </c>
      <c r="W72" s="14">
        <v>1</v>
      </c>
      <c r="X72" s="14">
        <v>2</v>
      </c>
      <c r="Y72" s="14">
        <v>4</v>
      </c>
      <c r="Z72" s="14">
        <v>0</v>
      </c>
      <c r="AA72" s="20">
        <v>1.02</v>
      </c>
      <c r="AB72" s="1">
        <v>4.3</v>
      </c>
      <c r="AC72" s="1">
        <v>131</v>
      </c>
      <c r="AD72" s="1">
        <v>5.74</v>
      </c>
      <c r="AE72" s="7">
        <v>0.384</v>
      </c>
      <c r="AF72" s="8">
        <v>98.2</v>
      </c>
      <c r="AG72" s="1">
        <v>341</v>
      </c>
      <c r="AH72" s="8">
        <v>10.3</v>
      </c>
      <c r="AI72" s="8">
        <v>40.7</v>
      </c>
      <c r="AJ72" s="9">
        <v>4.39</v>
      </c>
      <c r="AK72" s="8">
        <v>36.3</v>
      </c>
      <c r="AL72" s="8">
        <v>4.6</v>
      </c>
      <c r="AM72" s="8">
        <v>1.1</v>
      </c>
      <c r="AN72" s="9">
        <v>16.5</v>
      </c>
      <c r="AO72" s="8">
        <v>18</v>
      </c>
      <c r="AP72" s="9">
        <v>3.86</v>
      </c>
      <c r="AQ72" s="1">
        <v>4.52</v>
      </c>
      <c r="AR72" s="8">
        <v>71.7</v>
      </c>
      <c r="AS72" s="8">
        <v>184.4</v>
      </c>
      <c r="AT72" s="9">
        <v>5.79</v>
      </c>
      <c r="AU72" s="9">
        <v>4.49</v>
      </c>
      <c r="AV72" s="9">
        <v>2</v>
      </c>
      <c r="AW72" s="9">
        <v>1.04</v>
      </c>
      <c r="AX72" s="9">
        <v>4.27</v>
      </c>
      <c r="AY72" s="8">
        <v>144.7</v>
      </c>
      <c r="AZ72" s="8">
        <v>22.5</v>
      </c>
      <c r="BA72" s="9">
        <v>0.85</v>
      </c>
      <c r="BB72" s="9">
        <v>3.35</v>
      </c>
      <c r="BC72" s="8">
        <v>146.3</v>
      </c>
      <c r="BD72" s="10">
        <v>1498</v>
      </c>
      <c r="BE72" s="10">
        <v>1</v>
      </c>
    </row>
    <row r="73" ht="15.6" spans="1:57">
      <c r="A73" s="14">
        <v>72</v>
      </c>
      <c r="B73" s="14" t="s">
        <v>126</v>
      </c>
      <c r="C73" s="15">
        <v>1</v>
      </c>
      <c r="D73" s="14">
        <v>1</v>
      </c>
      <c r="E73" s="14">
        <v>64</v>
      </c>
      <c r="F73" s="14">
        <v>0</v>
      </c>
      <c r="G73" s="14">
        <v>0</v>
      </c>
      <c r="H73" s="14">
        <v>174</v>
      </c>
      <c r="I73" s="14">
        <v>54</v>
      </c>
      <c r="J73" s="19">
        <f t="shared" si="7"/>
        <v>17.8359096313912</v>
      </c>
      <c r="K73" s="14">
        <v>0.615</v>
      </c>
      <c r="L73" s="14">
        <v>0.279</v>
      </c>
      <c r="M73" s="14">
        <v>0.067</v>
      </c>
      <c r="N73" s="14">
        <v>173</v>
      </c>
      <c r="O73" s="20">
        <f t="shared" si="5"/>
        <v>0.147688172043011</v>
      </c>
      <c r="P73" s="20">
        <f t="shared" si="8"/>
        <v>2.20430107526882</v>
      </c>
      <c r="Q73" s="20">
        <f t="shared" si="9"/>
        <v>0.0156426</v>
      </c>
      <c r="R73" s="20">
        <f t="shared" si="6"/>
        <v>3.22222222222222</v>
      </c>
      <c r="S73" s="23">
        <v>1</v>
      </c>
      <c r="T73" s="14">
        <v>2</v>
      </c>
      <c r="U73" s="14">
        <v>3</v>
      </c>
      <c r="V73" s="14">
        <v>1</v>
      </c>
      <c r="W73" s="14">
        <v>1</v>
      </c>
      <c r="X73" s="14">
        <v>2</v>
      </c>
      <c r="Y73" s="14">
        <v>4</v>
      </c>
      <c r="Z73" s="14">
        <v>1</v>
      </c>
      <c r="AA73" s="20">
        <v>1.011</v>
      </c>
      <c r="AB73" s="1">
        <v>2.1</v>
      </c>
      <c r="AC73" s="1">
        <v>136</v>
      </c>
      <c r="AD73" s="1">
        <v>6.09</v>
      </c>
      <c r="AE73" s="7">
        <v>0.396</v>
      </c>
      <c r="AF73" s="8">
        <v>91.2</v>
      </c>
      <c r="AG73" s="1">
        <v>343</v>
      </c>
      <c r="AH73" s="8">
        <v>10.7</v>
      </c>
      <c r="AI73" s="8">
        <v>46.2</v>
      </c>
      <c r="AJ73" s="9">
        <v>3.17</v>
      </c>
      <c r="AK73" s="8">
        <v>41.9</v>
      </c>
      <c r="AL73" s="8">
        <v>13.7</v>
      </c>
      <c r="AM73" s="8">
        <v>3.6</v>
      </c>
      <c r="AN73" s="9">
        <v>17.1</v>
      </c>
      <c r="AO73" s="8">
        <v>17.8</v>
      </c>
      <c r="AP73" s="9">
        <v>4.73</v>
      </c>
      <c r="AQ73" s="1">
        <v>3.98</v>
      </c>
      <c r="AR73" s="8">
        <v>62.2</v>
      </c>
      <c r="AS73" s="8">
        <v>169.3</v>
      </c>
      <c r="AT73" s="9">
        <v>4.84</v>
      </c>
      <c r="AU73" s="9">
        <v>0.76</v>
      </c>
      <c r="AV73" s="9">
        <v>2.23</v>
      </c>
      <c r="AW73" s="9">
        <v>1.35</v>
      </c>
      <c r="AX73" s="9">
        <v>4.15</v>
      </c>
      <c r="AY73" s="8">
        <v>142.5</v>
      </c>
      <c r="AZ73" s="8">
        <v>30.8</v>
      </c>
      <c r="BA73" s="9">
        <v>1.75</v>
      </c>
      <c r="BB73" s="9">
        <v>2.86</v>
      </c>
      <c r="BC73" s="8">
        <v>164.7</v>
      </c>
      <c r="BD73" s="10">
        <v>287</v>
      </c>
      <c r="BE73" s="10">
        <v>1</v>
      </c>
    </row>
    <row r="74" ht="15.6" spans="1:57">
      <c r="A74" s="14">
        <v>73</v>
      </c>
      <c r="B74" s="14" t="s">
        <v>127</v>
      </c>
      <c r="C74" s="15">
        <v>1</v>
      </c>
      <c r="D74" s="14">
        <v>1</v>
      </c>
      <c r="E74" s="14">
        <v>58</v>
      </c>
      <c r="F74" s="14">
        <v>0</v>
      </c>
      <c r="G74" s="14">
        <v>0</v>
      </c>
      <c r="H74" s="14">
        <v>168</v>
      </c>
      <c r="I74" s="14">
        <v>67</v>
      </c>
      <c r="J74" s="19">
        <f t="shared" si="7"/>
        <v>23.7386621315193</v>
      </c>
      <c r="K74" s="14">
        <v>0.616</v>
      </c>
      <c r="L74" s="14">
        <v>0.254</v>
      </c>
      <c r="M74" s="14">
        <v>0.075</v>
      </c>
      <c r="N74" s="14">
        <v>237</v>
      </c>
      <c r="O74" s="20">
        <f t="shared" si="5"/>
        <v>0.181889763779528</v>
      </c>
      <c r="P74" s="20">
        <f t="shared" si="8"/>
        <v>2.4251968503937</v>
      </c>
      <c r="Q74" s="20">
        <f t="shared" si="9"/>
        <v>0.0106998447761194</v>
      </c>
      <c r="R74" s="20">
        <f t="shared" si="6"/>
        <v>2.50746268656716</v>
      </c>
      <c r="S74" s="23">
        <v>1</v>
      </c>
      <c r="T74" s="14">
        <v>2</v>
      </c>
      <c r="U74" s="14">
        <v>1</v>
      </c>
      <c r="V74" s="14">
        <v>0</v>
      </c>
      <c r="W74" s="14">
        <v>0</v>
      </c>
      <c r="X74" s="14">
        <v>2</v>
      </c>
      <c r="Y74" s="14">
        <v>1</v>
      </c>
      <c r="Z74" s="1">
        <v>0</v>
      </c>
      <c r="AA74" s="20">
        <v>1.021</v>
      </c>
      <c r="AB74" s="8">
        <v>6</v>
      </c>
      <c r="AC74" s="1">
        <v>151</v>
      </c>
      <c r="AD74" s="1">
        <v>8.24</v>
      </c>
      <c r="AE74" s="7">
        <v>0.436</v>
      </c>
      <c r="AF74" s="8">
        <v>88.6</v>
      </c>
      <c r="AG74" s="1">
        <v>346</v>
      </c>
      <c r="AH74" s="8">
        <v>11.9</v>
      </c>
      <c r="AI74" s="8">
        <v>38.4</v>
      </c>
      <c r="AJ74" s="9">
        <v>4.5</v>
      </c>
      <c r="AK74" s="8">
        <v>40.9</v>
      </c>
      <c r="AL74" s="8">
        <v>8.2</v>
      </c>
      <c r="AM74" s="8">
        <v>2.1</v>
      </c>
      <c r="AN74" s="9">
        <v>20</v>
      </c>
      <c r="AO74" s="8">
        <v>59.4</v>
      </c>
      <c r="AP74" s="9">
        <v>3.81</v>
      </c>
      <c r="AQ74" s="1">
        <v>4.93</v>
      </c>
      <c r="AR74" s="8">
        <v>86.8</v>
      </c>
      <c r="AS74" s="8">
        <v>397.4</v>
      </c>
      <c r="AT74" s="9">
        <v>5.51</v>
      </c>
      <c r="AU74" s="9">
        <v>1.34</v>
      </c>
      <c r="AV74" s="9">
        <v>2.32</v>
      </c>
      <c r="AW74" s="9">
        <v>1.18</v>
      </c>
      <c r="AX74" s="9">
        <v>4.4</v>
      </c>
      <c r="AY74" s="8">
        <v>142.9</v>
      </c>
      <c r="AZ74" s="8">
        <v>30.2</v>
      </c>
      <c r="BA74" s="9">
        <v>1.49</v>
      </c>
      <c r="BB74" s="9">
        <v>3.65</v>
      </c>
      <c r="BC74" s="8">
        <v>116.1</v>
      </c>
      <c r="BD74" s="10">
        <v>1755</v>
      </c>
      <c r="BE74" s="10">
        <v>1</v>
      </c>
    </row>
    <row r="75" ht="15.6" spans="1:57">
      <c r="A75" s="14">
        <v>74</v>
      </c>
      <c r="B75" s="14" t="s">
        <v>128</v>
      </c>
      <c r="C75" s="15">
        <v>1</v>
      </c>
      <c r="D75" s="14">
        <v>1</v>
      </c>
      <c r="E75" s="14">
        <v>63</v>
      </c>
      <c r="F75" s="14">
        <v>0</v>
      </c>
      <c r="G75" s="14">
        <v>1</v>
      </c>
      <c r="H75" s="14">
        <v>170</v>
      </c>
      <c r="I75" s="14">
        <v>69</v>
      </c>
      <c r="J75" s="19">
        <f t="shared" si="7"/>
        <v>23.8754325259516</v>
      </c>
      <c r="K75" s="14">
        <v>0.568</v>
      </c>
      <c r="L75" s="20">
        <v>0.31</v>
      </c>
      <c r="M75" s="14">
        <v>0.079</v>
      </c>
      <c r="N75" s="14">
        <v>152</v>
      </c>
      <c r="O75" s="20">
        <f t="shared" si="5"/>
        <v>0.144748387096774</v>
      </c>
      <c r="P75" s="20">
        <f t="shared" si="8"/>
        <v>1.83225806451613</v>
      </c>
      <c r="Q75" s="20">
        <f t="shared" si="9"/>
        <v>0.0129840579710145</v>
      </c>
      <c r="R75" s="20">
        <f t="shared" si="6"/>
        <v>2.46376811594203</v>
      </c>
      <c r="S75" s="23">
        <v>3</v>
      </c>
      <c r="T75" s="14">
        <v>2</v>
      </c>
      <c r="U75" s="14">
        <v>3</v>
      </c>
      <c r="V75" s="14">
        <v>2</v>
      </c>
      <c r="W75" s="14">
        <v>1</v>
      </c>
      <c r="X75" s="14">
        <v>1</v>
      </c>
      <c r="Y75" s="14">
        <v>4</v>
      </c>
      <c r="Z75" s="14">
        <v>1</v>
      </c>
      <c r="AA75" s="20">
        <v>1.013</v>
      </c>
      <c r="AB75" s="1">
        <v>1.9</v>
      </c>
      <c r="AC75" s="1">
        <v>135</v>
      </c>
      <c r="AD75" s="1">
        <v>3.93</v>
      </c>
      <c r="AE75" s="7">
        <v>0.389</v>
      </c>
      <c r="AF75" s="8">
        <v>89.4</v>
      </c>
      <c r="AG75" s="1">
        <v>347</v>
      </c>
      <c r="AH75" s="8">
        <v>11.7</v>
      </c>
      <c r="AI75" s="8">
        <v>39</v>
      </c>
      <c r="AJ75" s="9">
        <v>5.99</v>
      </c>
      <c r="AK75" s="8">
        <v>42.2</v>
      </c>
      <c r="AL75" s="8">
        <v>13.8</v>
      </c>
      <c r="AM75" s="8">
        <v>4.3</v>
      </c>
      <c r="AN75" s="9">
        <v>19.7</v>
      </c>
      <c r="AO75" s="8">
        <v>89.4</v>
      </c>
      <c r="AP75" s="9">
        <v>7.03</v>
      </c>
      <c r="AQ75" s="1">
        <v>3.86</v>
      </c>
      <c r="AR75" s="8">
        <v>77.6</v>
      </c>
      <c r="AS75" s="8">
        <v>537.2</v>
      </c>
      <c r="AT75" s="9">
        <v>4.31</v>
      </c>
      <c r="AU75" s="9">
        <v>1.15</v>
      </c>
      <c r="AV75" s="9">
        <v>2.28</v>
      </c>
      <c r="AW75" s="9">
        <v>1.07</v>
      </c>
      <c r="AX75" s="9">
        <v>4.15</v>
      </c>
      <c r="AY75" s="8">
        <v>142.2</v>
      </c>
      <c r="AZ75" s="8">
        <v>29</v>
      </c>
      <c r="BA75" s="9">
        <v>1.09</v>
      </c>
      <c r="BB75" s="9">
        <v>2.83</v>
      </c>
      <c r="BC75" s="8">
        <v>176.4</v>
      </c>
      <c r="BD75" s="10">
        <v>613</v>
      </c>
      <c r="BE75" s="10">
        <v>1</v>
      </c>
    </row>
    <row r="76" ht="15.6" spans="1:57">
      <c r="A76" s="14">
        <v>75</v>
      </c>
      <c r="B76" s="14" t="s">
        <v>129</v>
      </c>
      <c r="C76" s="15">
        <v>1</v>
      </c>
      <c r="D76" s="14">
        <v>2</v>
      </c>
      <c r="E76" s="14">
        <v>33</v>
      </c>
      <c r="F76" s="14">
        <v>0</v>
      </c>
      <c r="G76" s="14">
        <v>0</v>
      </c>
      <c r="H76" s="14">
        <v>162</v>
      </c>
      <c r="I76" s="14">
        <v>55</v>
      </c>
      <c r="J76" s="19">
        <f t="shared" si="7"/>
        <v>20.9571711629325</v>
      </c>
      <c r="K76" s="20">
        <v>0.59</v>
      </c>
      <c r="L76" s="14">
        <v>0.341</v>
      </c>
      <c r="M76" s="14">
        <v>0.045</v>
      </c>
      <c r="N76" s="14">
        <v>348</v>
      </c>
      <c r="O76" s="20">
        <f t="shared" si="5"/>
        <v>0.0778592375366569</v>
      </c>
      <c r="P76" s="20">
        <f t="shared" si="8"/>
        <v>1.73020527859238</v>
      </c>
      <c r="Q76" s="20">
        <f t="shared" si="9"/>
        <v>0.01627128</v>
      </c>
      <c r="R76" s="20">
        <f t="shared" si="6"/>
        <v>2.94545454545455</v>
      </c>
      <c r="S76" s="23">
        <v>3</v>
      </c>
      <c r="T76" s="14">
        <v>1</v>
      </c>
      <c r="U76" s="14">
        <v>2</v>
      </c>
      <c r="V76" s="14">
        <v>1</v>
      </c>
      <c r="W76" s="14">
        <v>1</v>
      </c>
      <c r="X76" s="14">
        <v>2</v>
      </c>
      <c r="Y76" s="14">
        <v>4</v>
      </c>
      <c r="Z76" s="1">
        <v>0</v>
      </c>
      <c r="AA76" s="20">
        <v>1.011</v>
      </c>
      <c r="AB76" s="1">
        <v>28.3</v>
      </c>
      <c r="AC76" s="1">
        <v>119</v>
      </c>
      <c r="AD76" s="1">
        <v>5.75</v>
      </c>
      <c r="AE76" s="7">
        <v>0.364</v>
      </c>
      <c r="AF76" s="8">
        <v>84.3</v>
      </c>
      <c r="AG76" s="1">
        <v>327</v>
      </c>
      <c r="AH76" s="8">
        <v>9.6</v>
      </c>
      <c r="AI76" s="8">
        <v>34.3</v>
      </c>
      <c r="AJ76" s="9">
        <v>3.45</v>
      </c>
      <c r="AK76" s="8">
        <v>48.3</v>
      </c>
      <c r="AL76" s="8">
        <v>10.9</v>
      </c>
      <c r="AM76" s="8">
        <v>2.5</v>
      </c>
      <c r="AN76" s="9">
        <v>8.3</v>
      </c>
      <c r="AO76" s="8">
        <v>7.9</v>
      </c>
      <c r="AP76" s="9">
        <v>4.43</v>
      </c>
      <c r="AQ76" s="1">
        <v>3.44</v>
      </c>
      <c r="AR76" s="8">
        <v>64.2</v>
      </c>
      <c r="AS76" s="8">
        <v>265.1</v>
      </c>
      <c r="AT76" s="9">
        <v>5.19</v>
      </c>
      <c r="AU76" s="9">
        <v>1.17</v>
      </c>
      <c r="AV76" s="9">
        <v>2.29</v>
      </c>
      <c r="AW76" s="9">
        <v>1.38</v>
      </c>
      <c r="AX76" s="9">
        <v>4.47</v>
      </c>
      <c r="AY76" s="8">
        <v>142.1</v>
      </c>
      <c r="AZ76" s="8">
        <v>27.8</v>
      </c>
      <c r="BA76" s="9">
        <v>1.6</v>
      </c>
      <c r="BB76" s="9">
        <v>3.36</v>
      </c>
      <c r="BC76" s="8">
        <v>136.7</v>
      </c>
      <c r="BD76" s="10">
        <v>2348</v>
      </c>
      <c r="BE76" s="10">
        <v>0</v>
      </c>
    </row>
    <row r="77" ht="15.6" spans="1:57">
      <c r="A77" s="14">
        <v>76</v>
      </c>
      <c r="B77" s="14" t="s">
        <v>130</v>
      </c>
      <c r="C77" s="15">
        <v>0</v>
      </c>
      <c r="D77" s="14">
        <v>2</v>
      </c>
      <c r="E77" s="14">
        <v>34</v>
      </c>
      <c r="F77" s="14">
        <v>0</v>
      </c>
      <c r="G77" s="14">
        <v>0</v>
      </c>
      <c r="H77" s="14">
        <v>163</v>
      </c>
      <c r="I77" s="14">
        <v>58</v>
      </c>
      <c r="J77" s="19">
        <f t="shared" si="7"/>
        <v>21.8299521999323</v>
      </c>
      <c r="K77" s="20">
        <v>0.35</v>
      </c>
      <c r="L77" s="20">
        <v>0.58</v>
      </c>
      <c r="M77" s="20">
        <v>0.06</v>
      </c>
      <c r="N77" s="14">
        <v>178</v>
      </c>
      <c r="O77" s="20">
        <f t="shared" si="5"/>
        <v>0.0362068965517241</v>
      </c>
      <c r="P77" s="20">
        <f t="shared" si="8"/>
        <v>0.603448275862069</v>
      </c>
      <c r="Q77" s="20">
        <f t="shared" si="9"/>
        <v>0.026569</v>
      </c>
      <c r="R77" s="20">
        <f t="shared" si="6"/>
        <v>2.81034482758621</v>
      </c>
      <c r="S77" s="23">
        <v>2</v>
      </c>
      <c r="T77" s="14">
        <v>1</v>
      </c>
      <c r="U77" s="14">
        <v>2</v>
      </c>
      <c r="V77" s="14">
        <v>0</v>
      </c>
      <c r="W77" s="14">
        <v>0</v>
      </c>
      <c r="X77" s="14">
        <v>3</v>
      </c>
      <c r="Y77" s="14">
        <v>2</v>
      </c>
      <c r="Z77" s="14">
        <v>0</v>
      </c>
      <c r="AA77" s="20">
        <v>1.023</v>
      </c>
      <c r="AB77" s="1">
        <v>15.4</v>
      </c>
      <c r="AC77" s="1">
        <v>113</v>
      </c>
      <c r="AD77" s="1">
        <v>6.1</v>
      </c>
      <c r="AE77" s="7">
        <v>0.342</v>
      </c>
      <c r="AF77" s="8">
        <v>86.4</v>
      </c>
      <c r="AG77" s="1">
        <v>330</v>
      </c>
      <c r="AH77" s="8">
        <v>10</v>
      </c>
      <c r="AI77" s="8">
        <v>34.2</v>
      </c>
      <c r="AJ77" s="9">
        <v>2.04</v>
      </c>
      <c r="AK77" s="8">
        <v>40.6</v>
      </c>
      <c r="AL77" s="8">
        <v>9.7</v>
      </c>
      <c r="AM77" s="8">
        <v>2.7</v>
      </c>
      <c r="AN77" s="9">
        <v>6.9</v>
      </c>
      <c r="AO77" s="8">
        <v>9.5</v>
      </c>
      <c r="AP77" s="9">
        <v>4.62</v>
      </c>
      <c r="AQ77" s="9">
        <v>3.6</v>
      </c>
      <c r="AR77" s="8">
        <v>57.1</v>
      </c>
      <c r="AS77" s="8">
        <v>265.3</v>
      </c>
      <c r="AT77" s="9">
        <v>4.29</v>
      </c>
      <c r="AU77" s="9">
        <v>0.48</v>
      </c>
      <c r="AV77" s="9">
        <v>2.16</v>
      </c>
      <c r="AW77" s="9">
        <v>1.37</v>
      </c>
      <c r="AX77" s="9">
        <v>4.08</v>
      </c>
      <c r="AY77" s="8">
        <v>143.5</v>
      </c>
      <c r="AZ77" s="8">
        <v>26.5</v>
      </c>
      <c r="BA77" s="9">
        <v>1.27</v>
      </c>
      <c r="BB77" s="9">
        <v>2.73</v>
      </c>
      <c r="BC77" s="8">
        <v>170.3</v>
      </c>
      <c r="BD77" s="10">
        <v>2338</v>
      </c>
      <c r="BE77" s="10">
        <v>0</v>
      </c>
    </row>
    <row r="78" ht="15.6" spans="1:57">
      <c r="A78" s="14">
        <v>77</v>
      </c>
      <c r="B78" s="14" t="s">
        <v>131</v>
      </c>
      <c r="C78" s="15">
        <v>0</v>
      </c>
      <c r="D78" s="14">
        <v>2</v>
      </c>
      <c r="E78" s="14">
        <v>53</v>
      </c>
      <c r="F78" s="14">
        <v>1</v>
      </c>
      <c r="G78" s="14">
        <v>0</v>
      </c>
      <c r="H78" s="14">
        <v>162</v>
      </c>
      <c r="I78" s="14">
        <v>63</v>
      </c>
      <c r="J78" s="19">
        <f t="shared" si="7"/>
        <v>24.0054869684499</v>
      </c>
      <c r="K78" s="14">
        <v>0.511</v>
      </c>
      <c r="L78" s="14">
        <v>0.444</v>
      </c>
      <c r="M78" s="14">
        <v>0.036</v>
      </c>
      <c r="N78" s="14">
        <v>242</v>
      </c>
      <c r="O78" s="20">
        <f t="shared" si="5"/>
        <v>0.0414324324324324</v>
      </c>
      <c r="P78" s="20">
        <f t="shared" si="8"/>
        <v>1.1509009009009</v>
      </c>
      <c r="Q78" s="20">
        <f t="shared" si="9"/>
        <v>0.0184957714285714</v>
      </c>
      <c r="R78" s="20">
        <f t="shared" si="6"/>
        <v>2.57142857142857</v>
      </c>
      <c r="S78" s="23">
        <v>2</v>
      </c>
      <c r="T78" s="14">
        <v>1</v>
      </c>
      <c r="U78" s="14">
        <v>2</v>
      </c>
      <c r="V78" s="14">
        <v>0</v>
      </c>
      <c r="W78" s="14">
        <v>0</v>
      </c>
      <c r="X78" s="14">
        <v>3</v>
      </c>
      <c r="Y78" s="14">
        <v>2</v>
      </c>
      <c r="Z78" s="1">
        <v>0</v>
      </c>
      <c r="AA78" s="20">
        <v>1.017</v>
      </c>
      <c r="AB78" s="1">
        <v>14.4</v>
      </c>
      <c r="AC78" s="1">
        <v>136</v>
      </c>
      <c r="AD78" s="1">
        <v>3.58</v>
      </c>
      <c r="AE78" s="7">
        <v>0.38</v>
      </c>
      <c r="AF78" s="8">
        <v>87</v>
      </c>
      <c r="AG78" s="1">
        <v>358</v>
      </c>
      <c r="AH78" s="8">
        <v>9.9</v>
      </c>
      <c r="AI78" s="8">
        <v>41.3</v>
      </c>
      <c r="AJ78" s="9">
        <v>2.82</v>
      </c>
      <c r="AK78" s="8">
        <v>43.5</v>
      </c>
      <c r="AL78" s="8">
        <v>12</v>
      </c>
      <c r="AM78" s="8">
        <v>2.2</v>
      </c>
      <c r="AO78" s="8">
        <v>17</v>
      </c>
      <c r="AP78" s="9">
        <v>5.27</v>
      </c>
      <c r="AQ78" s="1">
        <v>3.05</v>
      </c>
      <c r="AR78" s="8">
        <v>54.9</v>
      </c>
      <c r="AS78" s="8">
        <v>197.4</v>
      </c>
      <c r="AV78" s="9">
        <v>2.38</v>
      </c>
      <c r="AW78" s="9">
        <v>1.05</v>
      </c>
      <c r="AX78" s="9">
        <v>3.83</v>
      </c>
      <c r="AY78" s="8">
        <v>143.3</v>
      </c>
      <c r="AZ78" s="8">
        <v>27.7</v>
      </c>
      <c r="BD78" s="10">
        <v>2335</v>
      </c>
      <c r="BE78" s="10">
        <v>0</v>
      </c>
    </row>
    <row r="79" ht="15.6" spans="1:57">
      <c r="A79" s="14">
        <v>78</v>
      </c>
      <c r="B79" s="14" t="s">
        <v>132</v>
      </c>
      <c r="C79" s="15">
        <v>1</v>
      </c>
      <c r="D79" s="14">
        <v>1</v>
      </c>
      <c r="E79" s="14">
        <v>62</v>
      </c>
      <c r="F79" s="14">
        <v>1</v>
      </c>
      <c r="G79" s="14">
        <v>0</v>
      </c>
      <c r="H79" s="14">
        <v>165</v>
      </c>
      <c r="I79" s="14">
        <v>57</v>
      </c>
      <c r="J79" s="19">
        <f t="shared" si="7"/>
        <v>20.9366391184573</v>
      </c>
      <c r="K79" s="14">
        <v>0.671</v>
      </c>
      <c r="L79" s="14">
        <v>0.251</v>
      </c>
      <c r="M79" s="14">
        <v>0.066</v>
      </c>
      <c r="N79" s="14">
        <v>148</v>
      </c>
      <c r="O79" s="20">
        <f t="shared" si="5"/>
        <v>0.176438247011952</v>
      </c>
      <c r="P79" s="20">
        <f t="shared" si="8"/>
        <v>2.67330677290837</v>
      </c>
      <c r="Q79" s="20">
        <f t="shared" si="9"/>
        <v>0.0119885526315789</v>
      </c>
      <c r="R79" s="20">
        <f t="shared" si="6"/>
        <v>2.89473684210526</v>
      </c>
      <c r="S79" s="23">
        <v>1</v>
      </c>
      <c r="T79" s="14">
        <v>1</v>
      </c>
      <c r="U79" s="14">
        <v>2</v>
      </c>
      <c r="V79" s="14">
        <v>0</v>
      </c>
      <c r="W79" s="14">
        <v>0</v>
      </c>
      <c r="X79" s="14">
        <v>2</v>
      </c>
      <c r="Y79" s="14">
        <v>2</v>
      </c>
      <c r="Z79" s="14">
        <v>0</v>
      </c>
      <c r="AA79" s="20">
        <v>1.006</v>
      </c>
      <c r="AB79" s="1">
        <v>3.3</v>
      </c>
      <c r="AC79" s="1">
        <v>152</v>
      </c>
      <c r="AD79" s="1">
        <v>6.81</v>
      </c>
      <c r="AE79" s="7">
        <v>0.421</v>
      </c>
      <c r="AF79" s="8">
        <v>98.8</v>
      </c>
      <c r="AG79" s="1">
        <v>361</v>
      </c>
      <c r="AH79" s="8">
        <v>11.7</v>
      </c>
      <c r="AI79" s="8">
        <v>38.3</v>
      </c>
      <c r="AJ79" s="9">
        <v>6.22</v>
      </c>
      <c r="AK79" s="8">
        <v>41.1</v>
      </c>
      <c r="AL79" s="8">
        <v>13.3</v>
      </c>
      <c r="AM79" s="8">
        <v>3.6</v>
      </c>
      <c r="AN79" s="9">
        <v>21.5</v>
      </c>
      <c r="AO79" s="8">
        <v>52.8</v>
      </c>
      <c r="AP79" s="9">
        <v>4.22</v>
      </c>
      <c r="AQ79" s="1">
        <v>4.65</v>
      </c>
      <c r="AR79" s="8">
        <v>66.8</v>
      </c>
      <c r="AS79" s="8">
        <v>257.7</v>
      </c>
      <c r="AT79" s="9">
        <v>5.04</v>
      </c>
      <c r="AU79" s="9">
        <v>0.72</v>
      </c>
      <c r="AV79" s="9">
        <v>2.41</v>
      </c>
      <c r="AW79" s="9">
        <v>1.56</v>
      </c>
      <c r="AX79" s="9">
        <v>4.63</v>
      </c>
      <c r="AY79" s="8">
        <v>142.8</v>
      </c>
      <c r="AZ79" s="8">
        <v>28.3</v>
      </c>
      <c r="BA79" s="9">
        <v>1.72</v>
      </c>
      <c r="BB79" s="9">
        <v>3.23</v>
      </c>
      <c r="BC79" s="8">
        <v>154.1</v>
      </c>
      <c r="BD79" s="10">
        <v>1049</v>
      </c>
      <c r="BE79" s="10">
        <v>1</v>
      </c>
    </row>
    <row r="80" ht="15.6" spans="1:57">
      <c r="A80" s="14">
        <v>79</v>
      </c>
      <c r="B80" s="14" t="s">
        <v>133</v>
      </c>
      <c r="C80" s="15">
        <v>1</v>
      </c>
      <c r="D80" s="14">
        <v>2</v>
      </c>
      <c r="E80" s="14">
        <v>55</v>
      </c>
      <c r="F80" s="14">
        <v>0</v>
      </c>
      <c r="G80" s="14">
        <v>0</v>
      </c>
      <c r="H80" s="14">
        <v>163</v>
      </c>
      <c r="I80" s="14">
        <v>75</v>
      </c>
      <c r="J80" s="19">
        <f t="shared" si="7"/>
        <v>28.2283864654296</v>
      </c>
      <c r="K80" s="14">
        <v>0.576</v>
      </c>
      <c r="L80" s="14">
        <v>0.325</v>
      </c>
      <c r="M80" s="14">
        <v>0.064</v>
      </c>
      <c r="N80" s="14">
        <v>217</v>
      </c>
      <c r="O80" s="20">
        <f t="shared" si="5"/>
        <v>0.113427692307692</v>
      </c>
      <c r="P80" s="20">
        <f t="shared" si="8"/>
        <v>1.77230769230769</v>
      </c>
      <c r="Q80" s="20">
        <f t="shared" si="9"/>
        <v>0.0115132333333333</v>
      </c>
      <c r="R80" s="20">
        <f t="shared" si="6"/>
        <v>2.17333333333333</v>
      </c>
      <c r="S80" s="23">
        <v>1</v>
      </c>
      <c r="T80" s="14">
        <v>1</v>
      </c>
      <c r="U80" s="14">
        <v>2</v>
      </c>
      <c r="V80" s="14">
        <v>1</v>
      </c>
      <c r="W80" s="14">
        <v>1</v>
      </c>
      <c r="X80" s="14">
        <v>3</v>
      </c>
      <c r="Y80" s="14">
        <v>4</v>
      </c>
      <c r="Z80" s="1">
        <v>0</v>
      </c>
      <c r="AA80" s="20">
        <v>1.016</v>
      </c>
      <c r="AB80" s="1">
        <v>6.4</v>
      </c>
      <c r="AC80" s="1">
        <v>136</v>
      </c>
      <c r="AD80" s="1">
        <v>8.16</v>
      </c>
      <c r="AE80" s="7">
        <v>0.395</v>
      </c>
      <c r="AF80" s="8">
        <v>90.6</v>
      </c>
      <c r="AG80" s="1">
        <v>344</v>
      </c>
      <c r="AH80" s="8">
        <v>10.1</v>
      </c>
      <c r="AI80" s="8">
        <v>33.4</v>
      </c>
      <c r="AJ80" s="9">
        <v>3.93</v>
      </c>
      <c r="AK80" s="8">
        <v>40</v>
      </c>
      <c r="AL80" s="8">
        <v>8.2</v>
      </c>
      <c r="AM80" s="8">
        <v>1.7</v>
      </c>
      <c r="AN80" s="9">
        <v>9.9</v>
      </c>
      <c r="AO80" s="8">
        <v>11.6</v>
      </c>
      <c r="AP80" s="9">
        <v>5.65</v>
      </c>
      <c r="AQ80" s="1">
        <v>4.09</v>
      </c>
      <c r="AR80" s="8">
        <v>61.3</v>
      </c>
      <c r="AS80" s="8">
        <v>214.6</v>
      </c>
      <c r="AT80" s="9">
        <v>5.01</v>
      </c>
      <c r="AU80" s="9">
        <v>1.9</v>
      </c>
      <c r="AV80" s="9">
        <v>2.24</v>
      </c>
      <c r="AW80" s="9">
        <v>1.35</v>
      </c>
      <c r="AX80" s="9">
        <v>3.83</v>
      </c>
      <c r="AY80" s="8">
        <v>143.4</v>
      </c>
      <c r="AZ80" s="8">
        <v>29.7</v>
      </c>
      <c r="BA80" s="9">
        <v>1.1</v>
      </c>
      <c r="BB80" s="9">
        <v>3.26</v>
      </c>
      <c r="BC80" s="8">
        <v>166.4</v>
      </c>
      <c r="BD80" s="10">
        <v>2317</v>
      </c>
      <c r="BE80" s="10">
        <v>0</v>
      </c>
    </row>
    <row r="81" ht="15.6" spans="1:57">
      <c r="A81" s="14">
        <v>80</v>
      </c>
      <c r="B81" s="14" t="s">
        <v>134</v>
      </c>
      <c r="C81" s="15">
        <v>1</v>
      </c>
      <c r="D81" s="14">
        <v>2</v>
      </c>
      <c r="E81" s="14">
        <v>53</v>
      </c>
      <c r="F81" s="14">
        <v>0</v>
      </c>
      <c r="G81" s="14">
        <v>0</v>
      </c>
      <c r="H81" s="14">
        <v>158</v>
      </c>
      <c r="I81" s="14">
        <v>65</v>
      </c>
      <c r="J81" s="19">
        <f t="shared" si="7"/>
        <v>26.0374939913475</v>
      </c>
      <c r="K81" s="14">
        <v>0.644</v>
      </c>
      <c r="L81" s="14">
        <v>0.269</v>
      </c>
      <c r="M81" s="14">
        <v>0.071</v>
      </c>
      <c r="N81" s="14">
        <v>267</v>
      </c>
      <c r="O81" s="20">
        <f t="shared" si="5"/>
        <v>0.169977695167286</v>
      </c>
      <c r="P81" s="20">
        <f t="shared" si="8"/>
        <v>2.39405204460967</v>
      </c>
      <c r="Q81" s="20">
        <f t="shared" si="9"/>
        <v>0.0103312553846154</v>
      </c>
      <c r="R81" s="20">
        <f t="shared" si="6"/>
        <v>2.43076923076923</v>
      </c>
      <c r="S81" s="23">
        <v>2</v>
      </c>
      <c r="T81" s="14">
        <v>2</v>
      </c>
      <c r="U81" s="14">
        <v>3</v>
      </c>
      <c r="V81" s="14">
        <v>2</v>
      </c>
      <c r="W81" s="14">
        <v>1</v>
      </c>
      <c r="X81" s="14">
        <v>2</v>
      </c>
      <c r="Y81" s="14">
        <v>4</v>
      </c>
      <c r="Z81" s="14">
        <v>1</v>
      </c>
      <c r="AA81" s="20">
        <v>1.016</v>
      </c>
      <c r="AB81" s="1">
        <v>24.2</v>
      </c>
      <c r="AC81" s="1">
        <v>142</v>
      </c>
      <c r="AD81" s="1">
        <v>5.47</v>
      </c>
      <c r="AE81" s="7">
        <v>0.413</v>
      </c>
      <c r="AF81" s="8">
        <v>86.2</v>
      </c>
      <c r="AG81" s="1">
        <v>344</v>
      </c>
      <c r="AH81" s="8">
        <v>9.9</v>
      </c>
      <c r="AI81" s="8">
        <v>33.9</v>
      </c>
      <c r="AJ81" s="9">
        <v>3.62</v>
      </c>
      <c r="AK81" s="8">
        <v>41.2</v>
      </c>
      <c r="AL81" s="8">
        <v>13.3</v>
      </c>
      <c r="AM81" s="8">
        <v>3.2</v>
      </c>
      <c r="AN81" s="9">
        <v>10.6</v>
      </c>
      <c r="AO81" s="8">
        <v>14.8</v>
      </c>
      <c r="AP81" s="9">
        <v>5.13</v>
      </c>
      <c r="AQ81" s="9">
        <v>3.3</v>
      </c>
      <c r="AR81" s="8">
        <v>60.4</v>
      </c>
      <c r="AS81" s="8">
        <v>286.5</v>
      </c>
      <c r="AT81" s="9">
        <v>5.12</v>
      </c>
      <c r="AU81" s="9">
        <v>1.25</v>
      </c>
      <c r="AV81" s="9">
        <v>2.23</v>
      </c>
      <c r="AW81" s="9">
        <v>1.36</v>
      </c>
      <c r="AX81" s="9">
        <v>3.9</v>
      </c>
      <c r="AY81" s="8">
        <v>144.7</v>
      </c>
      <c r="AZ81" s="8">
        <v>27.2</v>
      </c>
      <c r="BA81" s="9">
        <v>1.22</v>
      </c>
      <c r="BB81" s="9">
        <v>3.58</v>
      </c>
      <c r="BC81" s="8">
        <v>146.3</v>
      </c>
      <c r="BD81" s="10">
        <v>2314</v>
      </c>
      <c r="BE81" s="10">
        <v>0</v>
      </c>
    </row>
    <row r="82" ht="15.6" spans="1:57">
      <c r="A82" s="14">
        <v>81</v>
      </c>
      <c r="B82" s="14" t="s">
        <v>135</v>
      </c>
      <c r="C82" s="15">
        <v>1</v>
      </c>
      <c r="D82" s="14">
        <v>2</v>
      </c>
      <c r="E82" s="14">
        <v>62</v>
      </c>
      <c r="F82" s="14">
        <v>1</v>
      </c>
      <c r="G82" s="14">
        <v>0</v>
      </c>
      <c r="H82" s="14">
        <v>163</v>
      </c>
      <c r="I82" s="14">
        <v>64</v>
      </c>
      <c r="J82" s="19">
        <f t="shared" si="7"/>
        <v>24.0882231171666</v>
      </c>
      <c r="K82" s="14">
        <v>0.673</v>
      </c>
      <c r="L82" s="20">
        <v>0.27</v>
      </c>
      <c r="M82" s="14">
        <v>0.056</v>
      </c>
      <c r="N82" s="14">
        <v>205</v>
      </c>
      <c r="O82" s="20">
        <f t="shared" si="5"/>
        <v>0.139585185185185</v>
      </c>
      <c r="P82" s="20">
        <f t="shared" si="8"/>
        <v>2.49259259259259</v>
      </c>
      <c r="Q82" s="20">
        <f t="shared" si="9"/>
        <v>0.011208796875</v>
      </c>
      <c r="R82" s="20">
        <f t="shared" si="6"/>
        <v>2.546875</v>
      </c>
      <c r="S82" s="23">
        <v>1</v>
      </c>
      <c r="T82" s="14">
        <v>1</v>
      </c>
      <c r="U82" s="14">
        <v>1</v>
      </c>
      <c r="V82" s="14">
        <v>0</v>
      </c>
      <c r="W82" s="14">
        <v>0</v>
      </c>
      <c r="X82" s="14">
        <v>3</v>
      </c>
      <c r="Y82" s="14">
        <v>1</v>
      </c>
      <c r="Z82" s="14">
        <v>0</v>
      </c>
      <c r="AA82" s="20">
        <v>1.015</v>
      </c>
      <c r="AB82" s="1">
        <v>9.3</v>
      </c>
      <c r="AC82" s="1">
        <v>120</v>
      </c>
      <c r="AD82" s="1">
        <v>3.61</v>
      </c>
      <c r="AE82" s="7">
        <v>0.354</v>
      </c>
      <c r="AF82" s="8">
        <v>85.7</v>
      </c>
      <c r="AG82" s="1">
        <v>339</v>
      </c>
      <c r="AH82" s="8">
        <v>9.4</v>
      </c>
      <c r="AI82" s="8">
        <v>41.3</v>
      </c>
      <c r="AJ82" s="9">
        <v>3.07</v>
      </c>
      <c r="AK82" s="8">
        <v>42.7</v>
      </c>
      <c r="AL82" s="8">
        <v>7.8</v>
      </c>
      <c r="AM82" s="8">
        <v>2.9</v>
      </c>
      <c r="AN82" s="9">
        <v>7.5</v>
      </c>
      <c r="AO82" s="8">
        <v>29</v>
      </c>
      <c r="AP82" s="9">
        <v>4.76</v>
      </c>
      <c r="AQ82" s="1">
        <v>3.87</v>
      </c>
      <c r="AR82" s="8">
        <v>56.9</v>
      </c>
      <c r="AS82" s="8">
        <v>321.1</v>
      </c>
      <c r="AT82" s="9">
        <v>4.7</v>
      </c>
      <c r="AU82" s="9">
        <v>1.52</v>
      </c>
      <c r="AV82" s="9">
        <v>2.29</v>
      </c>
      <c r="AW82" s="9">
        <v>1.36</v>
      </c>
      <c r="AX82" s="9">
        <v>3.44</v>
      </c>
      <c r="AY82" s="8">
        <v>142.8</v>
      </c>
      <c r="AZ82" s="8">
        <v>28.8</v>
      </c>
      <c r="BA82" s="9">
        <v>1.07</v>
      </c>
      <c r="BB82" s="9">
        <v>3.36</v>
      </c>
      <c r="BC82" s="8">
        <v>162</v>
      </c>
      <c r="BD82" s="10">
        <v>2306</v>
      </c>
      <c r="BE82" s="10">
        <v>0</v>
      </c>
    </row>
    <row r="83" ht="15.6" spans="1:57">
      <c r="A83" s="14">
        <v>82</v>
      </c>
      <c r="B83" s="14" t="s">
        <v>136</v>
      </c>
      <c r="C83" s="15">
        <v>1</v>
      </c>
      <c r="D83" s="14">
        <v>2</v>
      </c>
      <c r="E83" s="14">
        <v>36</v>
      </c>
      <c r="F83" s="14">
        <v>0</v>
      </c>
      <c r="G83" s="14">
        <v>0</v>
      </c>
      <c r="H83" s="14">
        <v>164</v>
      </c>
      <c r="I83" s="14">
        <v>55</v>
      </c>
      <c r="J83" s="19">
        <f t="shared" si="7"/>
        <v>20.4491374182035</v>
      </c>
      <c r="K83" s="14">
        <v>0.486</v>
      </c>
      <c r="L83" s="14">
        <v>0.411</v>
      </c>
      <c r="M83" s="14">
        <v>0.059</v>
      </c>
      <c r="N83" s="14">
        <v>220</v>
      </c>
      <c r="O83" s="20">
        <f t="shared" si="5"/>
        <v>0.0697664233576642</v>
      </c>
      <c r="P83" s="20">
        <f t="shared" si="8"/>
        <v>1.18248175182482</v>
      </c>
      <c r="Q83" s="20">
        <f t="shared" si="9"/>
        <v>0.0200986472727273</v>
      </c>
      <c r="R83" s="20">
        <f t="shared" si="6"/>
        <v>2.98181818181818</v>
      </c>
      <c r="S83" s="23">
        <v>4</v>
      </c>
      <c r="T83" s="14">
        <v>1</v>
      </c>
      <c r="U83" s="14">
        <v>2</v>
      </c>
      <c r="V83" s="14">
        <v>2</v>
      </c>
      <c r="W83" s="14">
        <v>1</v>
      </c>
      <c r="X83" s="14">
        <v>3</v>
      </c>
      <c r="Y83" s="14">
        <v>4</v>
      </c>
      <c r="Z83" s="14">
        <v>0</v>
      </c>
      <c r="AA83" s="20">
        <v>1.029</v>
      </c>
      <c r="AB83" s="1">
        <v>17.9</v>
      </c>
      <c r="AC83" s="1">
        <v>122</v>
      </c>
      <c r="AD83" s="1">
        <v>5.23</v>
      </c>
      <c r="AE83" s="7">
        <v>0.359</v>
      </c>
      <c r="AF83" s="8">
        <v>91.6</v>
      </c>
      <c r="AG83" s="1">
        <v>340</v>
      </c>
      <c r="AH83" s="8">
        <v>10.3</v>
      </c>
      <c r="AI83" s="8">
        <v>29.2</v>
      </c>
      <c r="AJ83" s="9">
        <v>2.83</v>
      </c>
      <c r="AK83" s="8">
        <v>44.3</v>
      </c>
      <c r="AL83" s="8">
        <v>9.2</v>
      </c>
      <c r="AM83" s="8">
        <v>2.2</v>
      </c>
      <c r="AN83" s="9">
        <v>11.3</v>
      </c>
      <c r="AO83" s="8">
        <v>11.4</v>
      </c>
      <c r="AP83" s="9">
        <v>4.18</v>
      </c>
      <c r="AQ83" s="1">
        <v>5.75</v>
      </c>
      <c r="AR83" s="8">
        <v>71.7</v>
      </c>
      <c r="AS83" s="8">
        <v>208.3</v>
      </c>
      <c r="AT83" s="9">
        <v>4.09</v>
      </c>
      <c r="AU83" s="9">
        <v>0.93</v>
      </c>
      <c r="AV83" s="9">
        <v>2.22</v>
      </c>
      <c r="AW83" s="9">
        <v>1.4</v>
      </c>
      <c r="AX83" s="9">
        <v>3.65</v>
      </c>
      <c r="AY83" s="8">
        <v>143.6</v>
      </c>
      <c r="AZ83" s="8">
        <v>25.1</v>
      </c>
      <c r="BA83" s="9">
        <v>1.26</v>
      </c>
      <c r="BB83" s="9">
        <v>2.69</v>
      </c>
      <c r="BC83" s="8">
        <v>184.8</v>
      </c>
      <c r="BD83" s="10">
        <v>1294</v>
      </c>
      <c r="BE83" s="10">
        <v>1</v>
      </c>
    </row>
    <row r="84" ht="15.6" spans="1:57">
      <c r="A84" s="14">
        <v>83</v>
      </c>
      <c r="B84" s="14" t="s">
        <v>137</v>
      </c>
      <c r="C84" s="15">
        <v>1</v>
      </c>
      <c r="D84" s="14">
        <v>1</v>
      </c>
      <c r="E84" s="14">
        <v>61</v>
      </c>
      <c r="F84" s="14">
        <v>0</v>
      </c>
      <c r="G84" s="14">
        <v>0</v>
      </c>
      <c r="H84" s="14">
        <v>170</v>
      </c>
      <c r="I84" s="14">
        <v>58</v>
      </c>
      <c r="J84" s="19">
        <f t="shared" si="7"/>
        <v>20.0692041522491</v>
      </c>
      <c r="K84" s="14">
        <v>0.645</v>
      </c>
      <c r="L84" s="20">
        <v>0.18</v>
      </c>
      <c r="M84" s="14">
        <v>0.059</v>
      </c>
      <c r="N84" s="14">
        <v>244</v>
      </c>
      <c r="O84" s="20">
        <f t="shared" si="5"/>
        <v>0.211416666666667</v>
      </c>
      <c r="P84" s="20">
        <f t="shared" si="8"/>
        <v>3.58333333333333</v>
      </c>
      <c r="Q84" s="20">
        <f t="shared" si="9"/>
        <v>0.00896896551724138</v>
      </c>
      <c r="R84" s="20">
        <f t="shared" si="6"/>
        <v>2.93103448275862</v>
      </c>
      <c r="S84" s="23">
        <v>1</v>
      </c>
      <c r="T84" s="14">
        <v>1</v>
      </c>
      <c r="U84" s="14">
        <v>3</v>
      </c>
      <c r="V84" s="14">
        <v>2</v>
      </c>
      <c r="W84" s="14">
        <v>1</v>
      </c>
      <c r="X84" s="14">
        <v>2</v>
      </c>
      <c r="Y84" s="14">
        <v>4</v>
      </c>
      <c r="Z84" s="14">
        <v>1</v>
      </c>
      <c r="AA84" s="20">
        <v>1.007</v>
      </c>
      <c r="AB84" s="1">
        <v>1.5</v>
      </c>
      <c r="AC84" s="1">
        <v>60</v>
      </c>
      <c r="AD84" s="1">
        <v>6.06</v>
      </c>
      <c r="AE84" s="7">
        <v>0.18</v>
      </c>
      <c r="AF84" s="8">
        <v>105.3</v>
      </c>
      <c r="AG84" s="1">
        <v>333</v>
      </c>
      <c r="AH84" s="8">
        <v>12.5</v>
      </c>
      <c r="AI84" s="8">
        <v>40.2</v>
      </c>
      <c r="AJ84" s="9">
        <v>4.46</v>
      </c>
      <c r="AK84" s="8">
        <v>35.5</v>
      </c>
      <c r="AL84" s="8">
        <v>3.9</v>
      </c>
      <c r="AM84" s="8">
        <v>1</v>
      </c>
      <c r="AN84" s="9">
        <v>29.9</v>
      </c>
      <c r="AO84" s="8">
        <v>27.1</v>
      </c>
      <c r="AP84" s="9">
        <v>4.41</v>
      </c>
      <c r="AQ84" s="1">
        <v>8.79</v>
      </c>
      <c r="AR84" s="8">
        <v>195</v>
      </c>
      <c r="AS84" s="8">
        <v>243.4</v>
      </c>
      <c r="AT84" s="9">
        <v>3.88</v>
      </c>
      <c r="AU84" s="9">
        <v>0.52</v>
      </c>
      <c r="AV84" s="9">
        <v>2.01</v>
      </c>
      <c r="AW84" s="9">
        <v>1.01</v>
      </c>
      <c r="AX84" s="9">
        <v>3.22</v>
      </c>
      <c r="AY84" s="8">
        <v>142.5</v>
      </c>
      <c r="AZ84" s="8">
        <v>18.2</v>
      </c>
      <c r="BA84" s="9">
        <v>1.26</v>
      </c>
      <c r="BB84" s="9">
        <v>2.57</v>
      </c>
      <c r="BC84" s="8">
        <v>138.1</v>
      </c>
      <c r="BD84" s="10">
        <v>729</v>
      </c>
      <c r="BE84" s="10">
        <v>1</v>
      </c>
    </row>
    <row r="85" ht="15.6" spans="1:57">
      <c r="A85" s="14">
        <v>84</v>
      </c>
      <c r="B85" s="14" t="s">
        <v>138</v>
      </c>
      <c r="C85" s="15">
        <v>0</v>
      </c>
      <c r="D85" s="14">
        <v>2</v>
      </c>
      <c r="E85" s="14">
        <v>49</v>
      </c>
      <c r="F85" s="14">
        <v>0</v>
      </c>
      <c r="G85" s="14">
        <v>0</v>
      </c>
      <c r="H85" s="14">
        <v>162</v>
      </c>
      <c r="I85" s="14">
        <v>69</v>
      </c>
      <c r="J85" s="19">
        <f t="shared" si="7"/>
        <v>26.291723822588</v>
      </c>
      <c r="K85" s="14">
        <v>0.451</v>
      </c>
      <c r="L85" s="14">
        <v>0.474</v>
      </c>
      <c r="M85" s="14">
        <v>0.063</v>
      </c>
      <c r="N85" s="14">
        <v>162</v>
      </c>
      <c r="O85" s="20">
        <f t="shared" si="5"/>
        <v>0.0599430379746835</v>
      </c>
      <c r="P85" s="20">
        <f t="shared" si="8"/>
        <v>0.951476793248945</v>
      </c>
      <c r="Q85" s="20">
        <f t="shared" si="9"/>
        <v>0.0180284869565217</v>
      </c>
      <c r="R85" s="20">
        <f t="shared" si="6"/>
        <v>2.34782608695652</v>
      </c>
      <c r="S85" s="23">
        <v>2</v>
      </c>
      <c r="T85" s="14">
        <v>1</v>
      </c>
      <c r="U85" s="14">
        <v>2</v>
      </c>
      <c r="V85" s="14">
        <v>1</v>
      </c>
      <c r="W85" s="14">
        <v>1</v>
      </c>
      <c r="X85" s="14">
        <v>3</v>
      </c>
      <c r="Y85" s="14">
        <v>4</v>
      </c>
      <c r="Z85" s="1">
        <v>0</v>
      </c>
      <c r="AA85" s="20">
        <v>1.019</v>
      </c>
      <c r="AB85" s="1">
        <v>20.7</v>
      </c>
      <c r="AC85" s="1">
        <v>139</v>
      </c>
      <c r="AD85" s="1">
        <v>4.73</v>
      </c>
      <c r="AE85" s="7">
        <v>0.402</v>
      </c>
      <c r="AF85" s="8">
        <v>89.9</v>
      </c>
      <c r="AG85" s="1">
        <v>346</v>
      </c>
      <c r="AH85" s="8">
        <v>10.2</v>
      </c>
      <c r="AI85" s="8">
        <v>36.6</v>
      </c>
      <c r="AJ85" s="9">
        <v>2.46</v>
      </c>
      <c r="AK85" s="8">
        <v>41</v>
      </c>
      <c r="AL85" s="8">
        <v>9.5</v>
      </c>
      <c r="AM85" s="8">
        <v>3</v>
      </c>
      <c r="AN85" s="9">
        <v>11.1</v>
      </c>
      <c r="AO85" s="8">
        <v>11.5</v>
      </c>
      <c r="AP85" s="9">
        <v>4.56</v>
      </c>
      <c r="AQ85" s="1">
        <v>4.39</v>
      </c>
      <c r="AR85" s="8">
        <v>47.8</v>
      </c>
      <c r="AS85" s="8">
        <v>239.6</v>
      </c>
      <c r="AT85" s="9">
        <v>3.8</v>
      </c>
      <c r="AU85" s="9">
        <v>0.7</v>
      </c>
      <c r="AV85" s="9">
        <v>2.16</v>
      </c>
      <c r="AW85" s="9">
        <v>1.18</v>
      </c>
      <c r="AX85" s="9">
        <v>3.77</v>
      </c>
      <c r="AY85" s="8">
        <v>145.4</v>
      </c>
      <c r="AZ85" s="8">
        <v>29.5</v>
      </c>
      <c r="BA85" s="9">
        <v>1.43</v>
      </c>
      <c r="BB85" s="9">
        <v>2.3</v>
      </c>
      <c r="BC85" s="8">
        <v>127.4</v>
      </c>
      <c r="BD85" s="10">
        <v>2304</v>
      </c>
      <c r="BE85" s="10">
        <v>0</v>
      </c>
    </row>
    <row r="86" ht="15.6" spans="1:57">
      <c r="A86" s="14">
        <v>85</v>
      </c>
      <c r="B86" s="14" t="s">
        <v>139</v>
      </c>
      <c r="C86" s="15">
        <v>0</v>
      </c>
      <c r="D86" s="14">
        <v>1</v>
      </c>
      <c r="E86" s="14">
        <v>64</v>
      </c>
      <c r="F86" s="14">
        <v>0</v>
      </c>
      <c r="G86" s="14">
        <v>0</v>
      </c>
      <c r="H86" s="14">
        <v>164</v>
      </c>
      <c r="I86" s="14">
        <v>64</v>
      </c>
      <c r="J86" s="19">
        <f t="shared" si="7"/>
        <v>23.7953599048186</v>
      </c>
      <c r="K86" s="20">
        <v>0.48</v>
      </c>
      <c r="L86" s="14">
        <v>0.414</v>
      </c>
      <c r="M86" s="14">
        <v>0.078</v>
      </c>
      <c r="N86" s="14">
        <v>200</v>
      </c>
      <c r="O86" s="20">
        <f t="shared" si="5"/>
        <v>0.0904347826086957</v>
      </c>
      <c r="P86" s="20">
        <f t="shared" si="8"/>
        <v>1.15942028985507</v>
      </c>
      <c r="Q86" s="20">
        <f t="shared" si="9"/>
        <v>0.01739835</v>
      </c>
      <c r="R86" s="20">
        <f t="shared" si="6"/>
        <v>2.5625</v>
      </c>
      <c r="S86" s="23">
        <v>1</v>
      </c>
      <c r="T86" s="14">
        <v>2</v>
      </c>
      <c r="U86" s="14">
        <v>2</v>
      </c>
      <c r="V86" s="14">
        <v>0</v>
      </c>
      <c r="W86" s="14">
        <v>0</v>
      </c>
      <c r="X86" s="14">
        <v>3</v>
      </c>
      <c r="Y86" s="14">
        <v>2</v>
      </c>
      <c r="Z86" s="14">
        <v>0</v>
      </c>
      <c r="AA86" s="20">
        <v>1.009</v>
      </c>
      <c r="AB86" s="1">
        <v>0.5</v>
      </c>
      <c r="AC86" s="1">
        <v>146</v>
      </c>
      <c r="AD86" s="1">
        <v>6.94</v>
      </c>
      <c r="AE86" s="7">
        <v>0.425</v>
      </c>
      <c r="AF86" s="8">
        <v>88.2</v>
      </c>
      <c r="AG86" s="1">
        <v>344</v>
      </c>
      <c r="AH86" s="8">
        <v>10.9</v>
      </c>
      <c r="AI86" s="8">
        <v>37</v>
      </c>
      <c r="AJ86" s="9">
        <v>3.6</v>
      </c>
      <c r="AK86" s="8">
        <v>47.4</v>
      </c>
      <c r="AL86" s="8">
        <v>16.1</v>
      </c>
      <c r="AM86" s="8">
        <v>4.2</v>
      </c>
      <c r="AN86" s="9">
        <v>12.1</v>
      </c>
      <c r="AO86" s="8">
        <v>24.6</v>
      </c>
      <c r="AP86" s="9">
        <v>5.47</v>
      </c>
      <c r="AQ86" s="1">
        <v>7.66</v>
      </c>
      <c r="AR86" s="8">
        <v>68.4</v>
      </c>
      <c r="AS86" s="8">
        <v>286.8</v>
      </c>
      <c r="AT86" s="9">
        <v>4.09</v>
      </c>
      <c r="AU86" s="9">
        <v>2.11</v>
      </c>
      <c r="AV86" s="9">
        <v>2.32</v>
      </c>
      <c r="AW86" s="9">
        <v>1.05</v>
      </c>
      <c r="AX86" s="9">
        <v>4.24</v>
      </c>
      <c r="AY86" s="8">
        <v>143.2</v>
      </c>
      <c r="AZ86" s="8">
        <v>25.4</v>
      </c>
      <c r="BA86" s="9">
        <v>1.03</v>
      </c>
      <c r="BB86" s="9">
        <v>2.69</v>
      </c>
      <c r="BC86" s="8">
        <v>203.8</v>
      </c>
      <c r="BD86" s="10">
        <v>2296</v>
      </c>
      <c r="BE86" s="10">
        <v>0</v>
      </c>
    </row>
    <row r="87" ht="15.6" spans="1:57">
      <c r="A87" s="14">
        <v>86</v>
      </c>
      <c r="B87" s="14" t="s">
        <v>140</v>
      </c>
      <c r="C87" s="15">
        <v>0</v>
      </c>
      <c r="D87" s="14">
        <v>1</v>
      </c>
      <c r="E87" s="14">
        <v>50</v>
      </c>
      <c r="F87" s="14">
        <v>0</v>
      </c>
      <c r="G87" s="14">
        <v>0</v>
      </c>
      <c r="H87" s="14">
        <v>172</v>
      </c>
      <c r="I87" s="14">
        <v>70</v>
      </c>
      <c r="J87" s="19">
        <f t="shared" si="7"/>
        <v>23.6614386154678</v>
      </c>
      <c r="K87" s="14">
        <v>0.463</v>
      </c>
      <c r="L87" s="20">
        <v>0.41</v>
      </c>
      <c r="M87" s="14">
        <v>0.067</v>
      </c>
      <c r="N87" s="14">
        <v>210</v>
      </c>
      <c r="O87" s="20">
        <f t="shared" si="5"/>
        <v>0.0756609756097561</v>
      </c>
      <c r="P87" s="20">
        <f t="shared" si="8"/>
        <v>1.12926829268293</v>
      </c>
      <c r="Q87" s="20">
        <f t="shared" si="9"/>
        <v>0.0173277714285714</v>
      </c>
      <c r="R87" s="20">
        <f t="shared" si="6"/>
        <v>2.45714285714286</v>
      </c>
      <c r="S87" s="23">
        <v>1</v>
      </c>
      <c r="T87" s="14">
        <v>1</v>
      </c>
      <c r="U87" s="14">
        <v>2</v>
      </c>
      <c r="V87" s="14">
        <v>0</v>
      </c>
      <c r="W87" s="14">
        <v>0</v>
      </c>
      <c r="X87" s="14">
        <v>2</v>
      </c>
      <c r="Y87" s="14">
        <v>2</v>
      </c>
      <c r="Z87" s="1">
        <v>0</v>
      </c>
      <c r="AA87" s="20">
        <v>1.025</v>
      </c>
      <c r="AB87" s="1">
        <v>1.9</v>
      </c>
      <c r="AC87" s="1">
        <v>137</v>
      </c>
      <c r="AD87" s="1">
        <v>7.81</v>
      </c>
      <c r="AE87" s="7">
        <v>0.391</v>
      </c>
      <c r="AF87" s="8">
        <v>93.3</v>
      </c>
      <c r="AG87" s="1">
        <v>350</v>
      </c>
      <c r="AH87" s="8">
        <v>9.7</v>
      </c>
      <c r="AI87" s="8">
        <v>34.3</v>
      </c>
      <c r="AJ87" s="9">
        <v>4.16</v>
      </c>
      <c r="AK87" s="8">
        <v>40</v>
      </c>
      <c r="AL87" s="8">
        <v>8</v>
      </c>
      <c r="AM87" s="8">
        <v>1.5</v>
      </c>
      <c r="AN87" s="9">
        <v>10</v>
      </c>
      <c r="AO87" s="8">
        <v>19.6</v>
      </c>
      <c r="AP87" s="9">
        <v>4.73</v>
      </c>
      <c r="AQ87" s="1">
        <v>5.62</v>
      </c>
      <c r="AR87" s="8">
        <v>76.3</v>
      </c>
      <c r="AS87" s="8">
        <v>331.2</v>
      </c>
      <c r="AT87" s="9">
        <v>4.06</v>
      </c>
      <c r="AU87" s="9">
        <v>1.42</v>
      </c>
      <c r="AV87" s="9">
        <v>2.29</v>
      </c>
      <c r="AW87" s="9">
        <v>1.26</v>
      </c>
      <c r="AX87" s="9">
        <v>4.19</v>
      </c>
      <c r="AY87" s="8">
        <v>142.6</v>
      </c>
      <c r="AZ87" s="8">
        <v>25.7</v>
      </c>
      <c r="BA87" s="9">
        <v>0.67</v>
      </c>
      <c r="BB87" s="9">
        <v>3.1</v>
      </c>
      <c r="BC87" s="8">
        <v>121.5</v>
      </c>
      <c r="BD87" s="10">
        <v>2286</v>
      </c>
      <c r="BE87" s="10">
        <v>0</v>
      </c>
    </row>
    <row r="88" ht="15.6" spans="1:57">
      <c r="A88" s="14">
        <v>87</v>
      </c>
      <c r="B88" s="14" t="s">
        <v>141</v>
      </c>
      <c r="C88" s="15">
        <v>1</v>
      </c>
      <c r="D88" s="14">
        <v>2</v>
      </c>
      <c r="E88" s="14">
        <v>47</v>
      </c>
      <c r="F88" s="14">
        <v>0</v>
      </c>
      <c r="G88" s="14">
        <v>0</v>
      </c>
      <c r="H88" s="14">
        <v>160</v>
      </c>
      <c r="I88" s="14">
        <v>55</v>
      </c>
      <c r="J88" s="19">
        <f t="shared" si="7"/>
        <v>21.484375</v>
      </c>
      <c r="K88" s="14">
        <v>0.565</v>
      </c>
      <c r="L88" s="14">
        <v>0.228</v>
      </c>
      <c r="M88" s="20">
        <v>0.08</v>
      </c>
      <c r="N88" s="14">
        <v>258</v>
      </c>
      <c r="O88" s="20">
        <f t="shared" si="5"/>
        <v>0.198245614035088</v>
      </c>
      <c r="P88" s="20">
        <f t="shared" si="8"/>
        <v>2.4780701754386</v>
      </c>
      <c r="Q88" s="20">
        <f t="shared" si="9"/>
        <v>0.0106123636363636</v>
      </c>
      <c r="R88" s="20">
        <f t="shared" si="6"/>
        <v>2.90909090909091</v>
      </c>
      <c r="S88" s="23">
        <v>1</v>
      </c>
      <c r="T88" s="14">
        <v>1</v>
      </c>
      <c r="U88" s="14">
        <v>1</v>
      </c>
      <c r="V88" s="14">
        <v>2</v>
      </c>
      <c r="W88" s="14">
        <v>1</v>
      </c>
      <c r="X88" s="14">
        <v>3</v>
      </c>
      <c r="Y88" s="14">
        <v>4</v>
      </c>
      <c r="Z88" s="1">
        <v>0</v>
      </c>
      <c r="AA88" s="20">
        <v>1.023</v>
      </c>
      <c r="AB88" s="1">
        <v>7.9</v>
      </c>
      <c r="AC88" s="1">
        <v>111</v>
      </c>
      <c r="AD88" s="1">
        <v>5.5</v>
      </c>
      <c r="AE88" s="7">
        <v>0.384</v>
      </c>
      <c r="AF88" s="8">
        <v>74.4</v>
      </c>
      <c r="AG88" s="1">
        <v>290</v>
      </c>
      <c r="AH88" s="8">
        <v>9.9</v>
      </c>
      <c r="AI88" s="8">
        <v>38.9</v>
      </c>
      <c r="AJ88" s="9">
        <v>4.03</v>
      </c>
      <c r="AK88" s="8">
        <v>42.3</v>
      </c>
      <c r="AL88" s="8">
        <v>7.4</v>
      </c>
      <c r="AM88" s="8">
        <v>1.7</v>
      </c>
      <c r="AN88" s="9">
        <v>7.7</v>
      </c>
      <c r="AO88" s="8">
        <v>12.8</v>
      </c>
      <c r="AP88" s="9">
        <v>4.24</v>
      </c>
      <c r="AQ88" s="1">
        <v>2.97</v>
      </c>
      <c r="AR88" s="8">
        <v>57.9</v>
      </c>
      <c r="AS88" s="8">
        <v>165.2</v>
      </c>
      <c r="AT88" s="9">
        <v>4.14</v>
      </c>
      <c r="AU88" s="9">
        <v>0.83</v>
      </c>
      <c r="AV88" s="9">
        <v>2.31</v>
      </c>
      <c r="AW88" s="9">
        <v>1.34</v>
      </c>
      <c r="AX88" s="9">
        <v>4.67</v>
      </c>
      <c r="AY88" s="8">
        <v>142</v>
      </c>
      <c r="AZ88" s="8">
        <v>27.7</v>
      </c>
      <c r="BA88" s="9">
        <v>1.08</v>
      </c>
      <c r="BB88" s="9">
        <v>2.91</v>
      </c>
      <c r="BC88" s="8">
        <v>145.2</v>
      </c>
      <c r="BD88" s="10">
        <v>820</v>
      </c>
      <c r="BE88" s="10">
        <v>1</v>
      </c>
    </row>
    <row r="89" ht="15.6" spans="1:57">
      <c r="A89" s="14">
        <v>88</v>
      </c>
      <c r="B89" s="14" t="s">
        <v>142</v>
      </c>
      <c r="C89" s="15">
        <v>1</v>
      </c>
      <c r="D89" s="14">
        <v>1</v>
      </c>
      <c r="E89" s="14">
        <v>45</v>
      </c>
      <c r="F89" s="14">
        <v>0</v>
      </c>
      <c r="G89" s="14">
        <v>0</v>
      </c>
      <c r="H89" s="14">
        <v>183</v>
      </c>
      <c r="I89" s="14">
        <v>73</v>
      </c>
      <c r="J89" s="19">
        <f t="shared" si="7"/>
        <v>21.7982023948162</v>
      </c>
      <c r="K89" s="20">
        <v>0.54</v>
      </c>
      <c r="L89" s="20">
        <v>0.34</v>
      </c>
      <c r="M89" s="14">
        <v>0.068</v>
      </c>
      <c r="N89" s="14">
        <v>211</v>
      </c>
      <c r="O89" s="20">
        <f t="shared" si="5"/>
        <v>0.108</v>
      </c>
      <c r="P89" s="20">
        <f t="shared" si="8"/>
        <v>1.58823529411765</v>
      </c>
      <c r="Q89" s="20">
        <f t="shared" si="9"/>
        <v>0.0155976164383562</v>
      </c>
      <c r="R89" s="20">
        <f t="shared" si="6"/>
        <v>2.50684931506849</v>
      </c>
      <c r="S89" s="23">
        <v>1</v>
      </c>
      <c r="T89" s="14">
        <v>2</v>
      </c>
      <c r="U89" s="14">
        <v>2</v>
      </c>
      <c r="V89" s="14">
        <v>1</v>
      </c>
      <c r="W89" s="14">
        <v>1</v>
      </c>
      <c r="X89" s="14">
        <v>1</v>
      </c>
      <c r="Y89" s="14">
        <v>4</v>
      </c>
      <c r="Z89" s="14">
        <v>0</v>
      </c>
      <c r="AA89" s="20">
        <v>1.006</v>
      </c>
      <c r="AB89" s="1">
        <v>0.4</v>
      </c>
      <c r="AC89" s="1">
        <v>140</v>
      </c>
      <c r="AD89" s="1">
        <v>4.37</v>
      </c>
      <c r="AE89" s="7">
        <v>0.408</v>
      </c>
      <c r="AF89" s="8">
        <v>98.6</v>
      </c>
      <c r="AG89" s="1">
        <v>343</v>
      </c>
      <c r="AH89" s="8">
        <v>9.1</v>
      </c>
      <c r="AI89" s="8">
        <v>33.3</v>
      </c>
      <c r="AJ89" s="9">
        <v>4.09</v>
      </c>
      <c r="AK89" s="8">
        <v>45.1</v>
      </c>
      <c r="AL89" s="8">
        <v>7.8</v>
      </c>
      <c r="AM89" s="8">
        <v>1.7</v>
      </c>
      <c r="AN89" s="9">
        <v>12.8</v>
      </c>
      <c r="AO89" s="8">
        <v>128.3</v>
      </c>
      <c r="AP89" s="9">
        <v>5.26</v>
      </c>
      <c r="AQ89" s="1">
        <v>6.33</v>
      </c>
      <c r="AR89" s="8">
        <v>83.9</v>
      </c>
      <c r="AS89" s="8">
        <v>306.5</v>
      </c>
      <c r="AT89" s="9">
        <v>5.64</v>
      </c>
      <c r="AU89" s="9">
        <v>1.39</v>
      </c>
      <c r="AV89" s="9">
        <v>2.39</v>
      </c>
      <c r="AW89" s="9">
        <v>1.35</v>
      </c>
      <c r="AX89" s="9">
        <v>4.57</v>
      </c>
      <c r="AY89" s="8">
        <v>143.8</v>
      </c>
      <c r="AZ89" s="8">
        <v>25.4</v>
      </c>
      <c r="BA89" s="9">
        <v>1.13</v>
      </c>
      <c r="BB89" s="9">
        <v>3.85</v>
      </c>
      <c r="BC89" s="8">
        <v>130</v>
      </c>
      <c r="BD89" s="10">
        <v>533</v>
      </c>
      <c r="BE89" s="10">
        <v>1</v>
      </c>
    </row>
    <row r="90" ht="15.6" spans="1:57">
      <c r="A90" s="14">
        <v>89</v>
      </c>
      <c r="B90" s="14" t="s">
        <v>143</v>
      </c>
      <c r="C90" s="15">
        <v>0</v>
      </c>
      <c r="D90" s="14">
        <v>1</v>
      </c>
      <c r="E90" s="14">
        <v>56</v>
      </c>
      <c r="F90" s="14">
        <v>0</v>
      </c>
      <c r="G90" s="14">
        <v>0</v>
      </c>
      <c r="H90" s="14">
        <v>158</v>
      </c>
      <c r="I90" s="14">
        <v>45</v>
      </c>
      <c r="J90" s="19">
        <f t="shared" si="7"/>
        <v>18.0259573786252</v>
      </c>
      <c r="K90" s="14">
        <v>0.733</v>
      </c>
      <c r="L90" s="14">
        <v>0.118</v>
      </c>
      <c r="M90" s="14">
        <v>0.095</v>
      </c>
      <c r="N90" s="14">
        <v>258</v>
      </c>
      <c r="O90" s="20">
        <f t="shared" si="5"/>
        <v>0.590127118644068</v>
      </c>
      <c r="P90" s="20">
        <f t="shared" si="8"/>
        <v>6.21186440677966</v>
      </c>
      <c r="Q90" s="20">
        <f t="shared" si="9"/>
        <v>0.00654611555555556</v>
      </c>
      <c r="R90" s="20">
        <f t="shared" si="6"/>
        <v>3.51111111111111</v>
      </c>
      <c r="S90" s="23">
        <v>1</v>
      </c>
      <c r="T90" s="14">
        <v>2</v>
      </c>
      <c r="U90" s="14">
        <v>2</v>
      </c>
      <c r="V90" s="14">
        <v>0</v>
      </c>
      <c r="W90" s="14">
        <v>0</v>
      </c>
      <c r="X90" s="14">
        <v>1</v>
      </c>
      <c r="Y90" s="14">
        <v>2</v>
      </c>
      <c r="Z90" s="1">
        <v>0</v>
      </c>
      <c r="AA90" s="20">
        <v>1.013</v>
      </c>
      <c r="AB90" s="1">
        <v>5.4</v>
      </c>
      <c r="AC90" s="1">
        <v>147</v>
      </c>
      <c r="AD90" s="1">
        <v>7.06</v>
      </c>
      <c r="AE90" s="7">
        <v>0.421</v>
      </c>
      <c r="AF90" s="8">
        <v>92.9</v>
      </c>
      <c r="AG90" s="1">
        <v>349</v>
      </c>
      <c r="AH90" s="8">
        <v>9.5</v>
      </c>
      <c r="AI90" s="8">
        <v>37.6</v>
      </c>
      <c r="AJ90" s="9">
        <v>3.7</v>
      </c>
      <c r="AK90" s="8">
        <v>41.1</v>
      </c>
      <c r="AL90" s="8">
        <v>12.7</v>
      </c>
      <c r="AM90" s="8">
        <v>3.4</v>
      </c>
      <c r="AN90" s="9">
        <v>16.7</v>
      </c>
      <c r="AO90" s="8">
        <v>27.3</v>
      </c>
      <c r="AP90" s="9">
        <v>4.69</v>
      </c>
      <c r="AQ90" s="1">
        <v>3.93</v>
      </c>
      <c r="AR90" s="8">
        <v>61.6</v>
      </c>
      <c r="AS90" s="8">
        <v>345</v>
      </c>
      <c r="AT90" s="9">
        <v>4.02</v>
      </c>
      <c r="AU90" s="9">
        <v>1.15</v>
      </c>
      <c r="AV90" s="9">
        <v>2.22</v>
      </c>
      <c r="AW90" s="9">
        <v>1.24</v>
      </c>
      <c r="AX90" s="9">
        <v>4.23</v>
      </c>
      <c r="AY90" s="8">
        <v>142.5</v>
      </c>
      <c r="AZ90" s="8">
        <v>28.1</v>
      </c>
      <c r="BA90" s="9">
        <v>1.17</v>
      </c>
      <c r="BB90" s="9">
        <v>2.47</v>
      </c>
      <c r="BC90" s="8">
        <v>130</v>
      </c>
      <c r="BD90" s="10">
        <v>2258</v>
      </c>
      <c r="BE90" s="10">
        <v>0</v>
      </c>
    </row>
    <row r="91" ht="15.6" spans="1:57">
      <c r="A91" s="14">
        <v>90</v>
      </c>
      <c r="B91" s="14" t="s">
        <v>144</v>
      </c>
      <c r="C91" s="15">
        <v>1</v>
      </c>
      <c r="D91" s="14">
        <v>2</v>
      </c>
      <c r="E91" s="14">
        <v>68</v>
      </c>
      <c r="F91" s="14">
        <v>0</v>
      </c>
      <c r="G91" s="14">
        <v>0</v>
      </c>
      <c r="H91" s="14">
        <v>163</v>
      </c>
      <c r="I91" s="14">
        <v>59</v>
      </c>
      <c r="J91" s="19">
        <f t="shared" si="7"/>
        <v>22.206330686138</v>
      </c>
      <c r="K91" s="14">
        <v>0.578</v>
      </c>
      <c r="L91" s="14">
        <v>0.344</v>
      </c>
      <c r="M91" s="20">
        <v>0.06</v>
      </c>
      <c r="N91" s="14">
        <v>233</v>
      </c>
      <c r="O91" s="20">
        <f t="shared" si="5"/>
        <v>0.100813953488372</v>
      </c>
      <c r="P91" s="20">
        <f t="shared" si="8"/>
        <v>1.68023255813953</v>
      </c>
      <c r="Q91" s="33">
        <f t="shared" si="9"/>
        <v>0.0154910779661017</v>
      </c>
      <c r="R91" s="20">
        <f t="shared" si="6"/>
        <v>2.76271186440678</v>
      </c>
      <c r="S91" s="23">
        <v>1</v>
      </c>
      <c r="T91" s="14">
        <v>1</v>
      </c>
      <c r="U91" s="14">
        <v>2</v>
      </c>
      <c r="V91" s="14">
        <v>2</v>
      </c>
      <c r="W91" s="14">
        <v>1</v>
      </c>
      <c r="X91" s="14">
        <v>2</v>
      </c>
      <c r="Y91" s="14">
        <v>4</v>
      </c>
      <c r="Z91" s="14">
        <v>0</v>
      </c>
      <c r="AA91" s="20">
        <v>1.009</v>
      </c>
      <c r="AB91" s="1">
        <v>5.2</v>
      </c>
      <c r="AC91" s="1">
        <v>135</v>
      </c>
      <c r="AD91" s="1">
        <v>5.87</v>
      </c>
      <c r="AE91" s="7">
        <v>0.387</v>
      </c>
      <c r="AF91" s="8">
        <v>84.5</v>
      </c>
      <c r="AG91" s="1">
        <v>349</v>
      </c>
      <c r="AH91" s="8">
        <v>9.3</v>
      </c>
      <c r="AI91" s="8">
        <v>34.5</v>
      </c>
      <c r="AJ91" s="9">
        <v>3.7</v>
      </c>
      <c r="AK91" s="8">
        <v>42.2</v>
      </c>
      <c r="AL91" s="8">
        <v>12.6</v>
      </c>
      <c r="AM91" s="8">
        <v>2.9</v>
      </c>
      <c r="AN91" s="9">
        <v>10.6</v>
      </c>
      <c r="AO91" s="8">
        <v>11.5</v>
      </c>
      <c r="AP91" s="9">
        <v>4.82</v>
      </c>
      <c r="AQ91" s="1">
        <v>4.59</v>
      </c>
      <c r="AR91" s="8">
        <v>78.3</v>
      </c>
      <c r="AS91" s="8">
        <v>296</v>
      </c>
      <c r="AT91" s="9">
        <v>4.68</v>
      </c>
      <c r="AU91" s="9">
        <v>0.85</v>
      </c>
      <c r="AV91" s="9">
        <v>2.24</v>
      </c>
      <c r="AW91" s="9">
        <v>1.12</v>
      </c>
      <c r="AX91" s="9">
        <v>3.6</v>
      </c>
      <c r="AY91" s="8">
        <v>144.1</v>
      </c>
      <c r="AZ91" s="8">
        <v>28.1</v>
      </c>
      <c r="BA91" s="9">
        <v>1.01</v>
      </c>
      <c r="BB91" s="9">
        <v>3.18</v>
      </c>
      <c r="BC91" s="8">
        <v>141.3</v>
      </c>
      <c r="BD91" s="10">
        <v>2256</v>
      </c>
      <c r="BE91" s="10">
        <v>0</v>
      </c>
    </row>
    <row r="92" ht="15.6" spans="1:57">
      <c r="A92" s="14">
        <v>91</v>
      </c>
      <c r="B92" s="14" t="s">
        <v>145</v>
      </c>
      <c r="C92" s="15">
        <v>1</v>
      </c>
      <c r="D92" s="14">
        <v>1</v>
      </c>
      <c r="E92" s="14">
        <v>83</v>
      </c>
      <c r="F92" s="14">
        <v>0</v>
      </c>
      <c r="G92" s="14">
        <v>0</v>
      </c>
      <c r="H92" s="14">
        <v>172</v>
      </c>
      <c r="I92" s="14">
        <v>72</v>
      </c>
      <c r="J92" s="19">
        <f t="shared" si="7"/>
        <v>24.3374797187669</v>
      </c>
      <c r="K92" s="14">
        <v>0.742</v>
      </c>
      <c r="L92" s="14">
        <v>0.186</v>
      </c>
      <c r="M92" s="14">
        <v>0.038</v>
      </c>
      <c r="N92" s="14">
        <v>316</v>
      </c>
      <c r="O92" s="20">
        <f t="shared" si="5"/>
        <v>0.151591397849462</v>
      </c>
      <c r="P92" s="20">
        <f t="shared" si="8"/>
        <v>3.98924731182796</v>
      </c>
      <c r="Q92" s="20">
        <f t="shared" si="9"/>
        <v>0.00764253333333333</v>
      </c>
      <c r="R92" s="20">
        <f t="shared" si="6"/>
        <v>2.38888888888889</v>
      </c>
      <c r="S92" s="23">
        <v>1</v>
      </c>
      <c r="T92" s="14">
        <v>2</v>
      </c>
      <c r="U92" s="14">
        <v>3</v>
      </c>
      <c r="V92" s="14">
        <v>2</v>
      </c>
      <c r="W92" s="14">
        <v>1</v>
      </c>
      <c r="X92" s="14">
        <v>2</v>
      </c>
      <c r="Y92" s="14">
        <v>4</v>
      </c>
      <c r="Z92" s="14">
        <v>1</v>
      </c>
      <c r="AA92" s="20">
        <v>1.006</v>
      </c>
      <c r="AB92" s="8">
        <v>4</v>
      </c>
      <c r="AC92" s="1">
        <v>130</v>
      </c>
      <c r="AD92" s="1">
        <v>9.47</v>
      </c>
      <c r="AE92" s="7">
        <v>0.363</v>
      </c>
      <c r="AF92" s="8">
        <v>86.6</v>
      </c>
      <c r="AG92" s="1">
        <v>358</v>
      </c>
      <c r="AH92" s="8">
        <v>9.5</v>
      </c>
      <c r="AI92" s="8">
        <v>45.8</v>
      </c>
      <c r="AJ92" s="9">
        <v>4.89</v>
      </c>
      <c r="AK92" s="8">
        <v>39.4</v>
      </c>
      <c r="AL92" s="8">
        <v>7.2</v>
      </c>
      <c r="AM92" s="8">
        <v>2.3</v>
      </c>
      <c r="AN92" s="9">
        <v>12</v>
      </c>
      <c r="AO92" s="8">
        <v>16.3</v>
      </c>
      <c r="AP92" s="9">
        <v>10.63</v>
      </c>
      <c r="AQ92" s="9">
        <v>2.3</v>
      </c>
      <c r="AR92" s="8">
        <v>59</v>
      </c>
      <c r="AS92" s="8">
        <v>168.7</v>
      </c>
      <c r="AT92" s="9">
        <v>3.47</v>
      </c>
      <c r="AU92" s="9">
        <v>0.39</v>
      </c>
      <c r="AV92" s="9">
        <v>2.36</v>
      </c>
      <c r="AW92" s="9">
        <v>0.83</v>
      </c>
      <c r="AX92" s="9">
        <v>4.16</v>
      </c>
      <c r="AY92" s="8">
        <v>131.9</v>
      </c>
      <c r="AZ92" s="8">
        <v>24.9</v>
      </c>
      <c r="BA92" s="9">
        <v>1.17</v>
      </c>
      <c r="BB92" s="9">
        <v>2.18</v>
      </c>
      <c r="BC92" s="8">
        <v>206.3</v>
      </c>
      <c r="BD92" s="10">
        <v>732</v>
      </c>
      <c r="BE92" s="10">
        <v>1</v>
      </c>
    </row>
    <row r="93" ht="15.6" spans="1:57">
      <c r="A93" s="14">
        <v>92</v>
      </c>
      <c r="B93" s="14" t="s">
        <v>146</v>
      </c>
      <c r="C93" s="15">
        <v>0</v>
      </c>
      <c r="D93" s="14">
        <v>1</v>
      </c>
      <c r="E93" s="14">
        <v>60</v>
      </c>
      <c r="F93" s="14">
        <v>1</v>
      </c>
      <c r="G93" s="14">
        <v>0</v>
      </c>
      <c r="H93" s="14">
        <v>160</v>
      </c>
      <c r="I93" s="14">
        <v>48</v>
      </c>
      <c r="J93" s="19">
        <f t="shared" si="7"/>
        <v>18.75</v>
      </c>
      <c r="K93" s="14">
        <v>0.561</v>
      </c>
      <c r="L93" s="14">
        <v>0.341</v>
      </c>
      <c r="M93" s="14">
        <v>0.084</v>
      </c>
      <c r="N93" s="14">
        <v>262</v>
      </c>
      <c r="O93" s="20">
        <f t="shared" si="5"/>
        <v>0.138193548387097</v>
      </c>
      <c r="P93" s="20">
        <f t="shared" si="8"/>
        <v>1.64516129032258</v>
      </c>
      <c r="Q93" s="20">
        <f t="shared" si="9"/>
        <v>0.0181866666666667</v>
      </c>
      <c r="R93" s="20">
        <f t="shared" si="6"/>
        <v>3.33333333333333</v>
      </c>
      <c r="S93" s="23">
        <v>3</v>
      </c>
      <c r="T93" s="14">
        <v>2</v>
      </c>
      <c r="U93" s="14">
        <v>2</v>
      </c>
      <c r="V93" s="14">
        <v>0</v>
      </c>
      <c r="W93" s="14">
        <v>0</v>
      </c>
      <c r="X93" s="14">
        <v>2</v>
      </c>
      <c r="Y93" s="14">
        <v>2</v>
      </c>
      <c r="Z93" s="1">
        <v>0</v>
      </c>
      <c r="AA93" s="20">
        <v>1.022</v>
      </c>
      <c r="AB93" s="1">
        <v>5.1</v>
      </c>
      <c r="AC93" s="1">
        <v>143</v>
      </c>
      <c r="AD93" s="1">
        <v>5.81</v>
      </c>
      <c r="AE93" s="7">
        <v>0.403</v>
      </c>
      <c r="AF93" s="8">
        <v>99.3</v>
      </c>
      <c r="AG93" s="1">
        <v>355</v>
      </c>
      <c r="AH93" s="8">
        <v>9.8</v>
      </c>
      <c r="AI93" s="8">
        <v>30.9</v>
      </c>
      <c r="AJ93" s="9">
        <v>6.07</v>
      </c>
      <c r="AK93" s="8">
        <v>42.7</v>
      </c>
      <c r="AL93" s="8">
        <v>9.5</v>
      </c>
      <c r="AM93" s="8">
        <v>3.1</v>
      </c>
      <c r="AN93" s="9">
        <v>28.9</v>
      </c>
      <c r="AO93" s="8">
        <v>34</v>
      </c>
      <c r="AP93" s="9">
        <v>3.72</v>
      </c>
      <c r="AQ93" s="1">
        <v>6.68</v>
      </c>
      <c r="AR93" s="8">
        <v>59.1</v>
      </c>
      <c r="AS93" s="8">
        <v>366</v>
      </c>
      <c r="AT93" s="9">
        <v>4.53</v>
      </c>
      <c r="AU93" s="9">
        <v>0.86</v>
      </c>
      <c r="AV93" s="9">
        <v>2.73</v>
      </c>
      <c r="AW93" s="9">
        <v>1.36</v>
      </c>
      <c r="AX93" s="9">
        <v>4.85</v>
      </c>
      <c r="AY93" s="8">
        <v>134.4</v>
      </c>
      <c r="AZ93" s="8">
        <v>25.4</v>
      </c>
      <c r="BA93" s="9">
        <v>1.11</v>
      </c>
      <c r="BB93" s="9">
        <v>3.04</v>
      </c>
      <c r="BC93" s="8">
        <v>148.7</v>
      </c>
      <c r="BD93" s="10">
        <v>2249</v>
      </c>
      <c r="BE93" s="10">
        <v>0</v>
      </c>
    </row>
    <row r="94" ht="15.6" spans="1:57">
      <c r="A94" s="14">
        <v>93</v>
      </c>
      <c r="B94" s="14" t="s">
        <v>147</v>
      </c>
      <c r="C94" s="15">
        <v>0</v>
      </c>
      <c r="D94" s="14">
        <v>1</v>
      </c>
      <c r="E94" s="14">
        <v>43</v>
      </c>
      <c r="F94" s="14">
        <v>0</v>
      </c>
      <c r="G94" s="14">
        <v>0</v>
      </c>
      <c r="H94" s="14">
        <v>175</v>
      </c>
      <c r="I94" s="14">
        <v>68</v>
      </c>
      <c r="J94" s="19">
        <f t="shared" si="7"/>
        <v>22.2040816326531</v>
      </c>
      <c r="K94" s="14">
        <v>0.593</v>
      </c>
      <c r="L94" s="14">
        <v>0.325</v>
      </c>
      <c r="M94" s="14">
        <v>0.049</v>
      </c>
      <c r="N94" s="14">
        <v>283</v>
      </c>
      <c r="O94" s="20">
        <f t="shared" si="5"/>
        <v>0.0894061538461538</v>
      </c>
      <c r="P94" s="20">
        <f t="shared" si="8"/>
        <v>1.82461538461538</v>
      </c>
      <c r="Q94" s="20">
        <f t="shared" si="9"/>
        <v>0.0146369485294118</v>
      </c>
      <c r="R94" s="20">
        <f t="shared" si="6"/>
        <v>2.57352941176471</v>
      </c>
      <c r="S94" s="23">
        <v>1</v>
      </c>
      <c r="T94" s="14">
        <v>2</v>
      </c>
      <c r="U94" s="14">
        <v>2</v>
      </c>
      <c r="V94" s="14">
        <v>0</v>
      </c>
      <c r="W94" s="14">
        <v>0</v>
      </c>
      <c r="X94" s="14">
        <v>3</v>
      </c>
      <c r="Y94" s="14">
        <v>2</v>
      </c>
      <c r="Z94" s="14">
        <v>0</v>
      </c>
      <c r="AA94" s="20">
        <v>1.03</v>
      </c>
      <c r="AB94" s="1">
        <v>2.8</v>
      </c>
      <c r="AC94" s="1">
        <v>140</v>
      </c>
      <c r="AD94" s="1">
        <v>8.4</v>
      </c>
      <c r="AE94" s="7">
        <v>0.408</v>
      </c>
      <c r="AF94" s="8">
        <v>90.1</v>
      </c>
      <c r="AG94" s="1">
        <v>343</v>
      </c>
      <c r="AH94" s="8">
        <v>9.5</v>
      </c>
      <c r="AI94" s="8">
        <v>38.7</v>
      </c>
      <c r="AJ94" s="9">
        <v>3.47</v>
      </c>
      <c r="AK94" s="8">
        <v>41.9</v>
      </c>
      <c r="AL94" s="8">
        <v>16.5</v>
      </c>
      <c r="AM94" s="8">
        <v>3.5</v>
      </c>
      <c r="AN94" s="9">
        <v>7.3</v>
      </c>
      <c r="AO94" s="8">
        <v>12.6</v>
      </c>
      <c r="AP94" s="9">
        <v>4.34</v>
      </c>
      <c r="AQ94" s="1">
        <v>5.05</v>
      </c>
      <c r="AR94" s="8">
        <v>89.1</v>
      </c>
      <c r="AS94" s="8">
        <v>277.2</v>
      </c>
      <c r="AT94" s="9">
        <v>4.97</v>
      </c>
      <c r="AU94" s="9">
        <v>1.35</v>
      </c>
      <c r="AV94" s="9">
        <v>2.31</v>
      </c>
      <c r="AW94" s="9">
        <v>1.29</v>
      </c>
      <c r="AX94" s="9">
        <v>4.28</v>
      </c>
      <c r="AY94" s="8">
        <v>139.8</v>
      </c>
      <c r="AZ94" s="8">
        <v>24.7</v>
      </c>
      <c r="BA94" s="9">
        <v>1.17</v>
      </c>
      <c r="BB94" s="9">
        <v>3.41</v>
      </c>
      <c r="BC94" s="8">
        <v>147.5</v>
      </c>
      <c r="BD94" s="10">
        <v>2249</v>
      </c>
      <c r="BE94" s="10">
        <v>0</v>
      </c>
    </row>
    <row r="95" ht="15.6" spans="1:57">
      <c r="A95" s="14">
        <v>94</v>
      </c>
      <c r="B95" s="14" t="s">
        <v>148</v>
      </c>
      <c r="C95" s="15">
        <v>0</v>
      </c>
      <c r="D95" s="14">
        <v>1</v>
      </c>
      <c r="E95" s="14">
        <v>40</v>
      </c>
      <c r="F95" s="14">
        <v>0</v>
      </c>
      <c r="G95" s="14">
        <v>0</v>
      </c>
      <c r="H95" s="14">
        <v>168</v>
      </c>
      <c r="I95" s="14">
        <v>66</v>
      </c>
      <c r="J95" s="19">
        <f t="shared" si="7"/>
        <v>23.3843537414966</v>
      </c>
      <c r="K95" s="14">
        <v>0.494</v>
      </c>
      <c r="L95" s="14">
        <v>0.418</v>
      </c>
      <c r="M95" s="14">
        <v>0.065</v>
      </c>
      <c r="N95" s="14">
        <v>212</v>
      </c>
      <c r="O95" s="20">
        <f t="shared" si="5"/>
        <v>0.0768181818181818</v>
      </c>
      <c r="P95" s="20">
        <f t="shared" si="8"/>
        <v>1.18181818181818</v>
      </c>
      <c r="Q95" s="20">
        <f t="shared" si="9"/>
        <v>0.0178752</v>
      </c>
      <c r="R95" s="20">
        <f t="shared" si="6"/>
        <v>2.54545454545455</v>
      </c>
      <c r="S95" s="23">
        <v>1</v>
      </c>
      <c r="T95" s="14">
        <v>1</v>
      </c>
      <c r="U95" s="14">
        <v>2</v>
      </c>
      <c r="V95" s="14">
        <v>0</v>
      </c>
      <c r="W95" s="14">
        <v>0</v>
      </c>
      <c r="X95" s="14">
        <v>2</v>
      </c>
      <c r="Y95" s="14">
        <v>2</v>
      </c>
      <c r="Z95" s="1">
        <v>0</v>
      </c>
      <c r="AA95" s="20">
        <v>1.01</v>
      </c>
      <c r="AB95" s="8">
        <v>2</v>
      </c>
      <c r="AC95" s="1">
        <v>147</v>
      </c>
      <c r="AD95" s="1">
        <v>6.89</v>
      </c>
      <c r="AE95" s="7">
        <v>0.442</v>
      </c>
      <c r="AF95" s="8">
        <v>89</v>
      </c>
      <c r="AG95" s="1">
        <v>333</v>
      </c>
      <c r="AH95" s="8">
        <v>9.5</v>
      </c>
      <c r="AI95" s="8">
        <v>31.6</v>
      </c>
      <c r="AJ95" s="9">
        <v>2.7</v>
      </c>
      <c r="AK95" s="8">
        <v>43.4</v>
      </c>
      <c r="AL95" s="8">
        <v>8.4</v>
      </c>
      <c r="AM95" s="8">
        <v>2.6</v>
      </c>
      <c r="AN95" s="9">
        <v>19.6</v>
      </c>
      <c r="AO95" s="8">
        <v>24.9</v>
      </c>
      <c r="AP95" s="9">
        <v>4.21</v>
      </c>
      <c r="AQ95" s="1">
        <v>3.29</v>
      </c>
      <c r="AR95" s="8">
        <v>69</v>
      </c>
      <c r="AS95" s="8">
        <v>181.8</v>
      </c>
      <c r="AT95" s="9">
        <v>3.94</v>
      </c>
      <c r="AU95" s="9">
        <v>1.37</v>
      </c>
      <c r="AV95" s="9">
        <v>2.33</v>
      </c>
      <c r="AW95" s="9">
        <v>1.16</v>
      </c>
      <c r="AX95" s="9">
        <v>4.45</v>
      </c>
      <c r="AY95" s="8">
        <v>143.3</v>
      </c>
      <c r="AZ95" s="8">
        <v>28</v>
      </c>
      <c r="BA95" s="9">
        <v>1.3</v>
      </c>
      <c r="BB95" s="9">
        <v>2.21</v>
      </c>
      <c r="BC95" s="8">
        <v>182.9</v>
      </c>
      <c r="BD95" s="10">
        <v>2221</v>
      </c>
      <c r="BE95" s="10">
        <v>0</v>
      </c>
    </row>
    <row r="96" ht="15.6" spans="1:57">
      <c r="A96" s="14">
        <v>95</v>
      </c>
      <c r="B96" s="14" t="s">
        <v>149</v>
      </c>
      <c r="C96" s="15">
        <v>0</v>
      </c>
      <c r="D96" s="14">
        <v>2</v>
      </c>
      <c r="E96" s="14">
        <v>53</v>
      </c>
      <c r="F96" s="14">
        <v>0</v>
      </c>
      <c r="G96" s="14">
        <v>0</v>
      </c>
      <c r="H96" s="14">
        <v>165</v>
      </c>
      <c r="I96" s="14">
        <v>64</v>
      </c>
      <c r="J96" s="19">
        <f t="shared" si="7"/>
        <v>23.5078053259871</v>
      </c>
      <c r="K96" s="14">
        <v>0.571</v>
      </c>
      <c r="L96" s="14">
        <v>0.327</v>
      </c>
      <c r="M96" s="14">
        <v>0.086</v>
      </c>
      <c r="N96" s="14">
        <v>264</v>
      </c>
      <c r="O96" s="20">
        <f t="shared" si="5"/>
        <v>0.15017125382263</v>
      </c>
      <c r="P96" s="20">
        <f t="shared" si="8"/>
        <v>1.74617737003058</v>
      </c>
      <c r="Q96" s="20">
        <f t="shared" si="9"/>
        <v>0.0139102734375</v>
      </c>
      <c r="R96" s="20">
        <f t="shared" si="6"/>
        <v>2.578125</v>
      </c>
      <c r="S96" s="23">
        <v>1</v>
      </c>
      <c r="T96" s="14">
        <v>1</v>
      </c>
      <c r="U96" s="14">
        <v>2</v>
      </c>
      <c r="V96" s="14">
        <v>0</v>
      </c>
      <c r="W96" s="14">
        <v>0</v>
      </c>
      <c r="X96" s="14">
        <v>3</v>
      </c>
      <c r="Y96" s="14">
        <v>2</v>
      </c>
      <c r="Z96" s="14">
        <v>0</v>
      </c>
      <c r="AA96" s="20">
        <v>1.011</v>
      </c>
      <c r="AB96" s="1">
        <v>3.2</v>
      </c>
      <c r="AC96" s="1">
        <v>121</v>
      </c>
      <c r="AD96" s="1">
        <v>4.89</v>
      </c>
      <c r="AE96" s="7">
        <v>0.358</v>
      </c>
      <c r="AF96" s="8">
        <v>95</v>
      </c>
      <c r="AG96" s="1">
        <v>338</v>
      </c>
      <c r="AH96" s="8">
        <v>10.5</v>
      </c>
      <c r="AI96" s="8">
        <v>40.4</v>
      </c>
      <c r="AJ96" s="9">
        <v>2.3</v>
      </c>
      <c r="AK96" s="8">
        <v>43.8</v>
      </c>
      <c r="AL96" s="8">
        <v>7.3</v>
      </c>
      <c r="AM96" s="8">
        <v>2</v>
      </c>
      <c r="AN96" s="9">
        <v>11.4</v>
      </c>
      <c r="AO96" s="8">
        <v>14.1</v>
      </c>
      <c r="AP96" s="9">
        <v>5.56</v>
      </c>
      <c r="AQ96" s="1">
        <v>3.46</v>
      </c>
      <c r="AR96" s="8">
        <v>54.4</v>
      </c>
      <c r="AS96" s="8">
        <v>240.1</v>
      </c>
      <c r="AT96" s="9">
        <v>4.45</v>
      </c>
      <c r="AU96" s="9">
        <v>0.98</v>
      </c>
      <c r="AV96" s="9">
        <v>2.25</v>
      </c>
      <c r="AW96" s="9">
        <v>1.28</v>
      </c>
      <c r="AX96" s="9">
        <v>4.18</v>
      </c>
      <c r="AY96" s="8">
        <v>140.7</v>
      </c>
      <c r="AZ96" s="8">
        <v>29.5</v>
      </c>
      <c r="BA96" s="9">
        <v>1.51</v>
      </c>
      <c r="BB96" s="9">
        <v>2.68</v>
      </c>
      <c r="BC96" s="8">
        <v>169.9</v>
      </c>
      <c r="BD96" s="10">
        <v>2221</v>
      </c>
      <c r="BE96" s="10">
        <v>0</v>
      </c>
    </row>
    <row r="97" ht="15.6" spans="1:57">
      <c r="A97" s="14">
        <v>96</v>
      </c>
      <c r="B97" s="14" t="s">
        <v>150</v>
      </c>
      <c r="C97" s="15">
        <v>1</v>
      </c>
      <c r="D97" s="14">
        <v>1</v>
      </c>
      <c r="E97" s="14">
        <v>69</v>
      </c>
      <c r="F97" s="14">
        <v>0</v>
      </c>
      <c r="G97" s="14">
        <v>1</v>
      </c>
      <c r="H97" s="14">
        <v>162</v>
      </c>
      <c r="I97" s="14">
        <v>60</v>
      </c>
      <c r="J97" s="19">
        <f t="shared" si="7"/>
        <v>22.8623685413809</v>
      </c>
      <c r="K97" s="14">
        <v>0.567</v>
      </c>
      <c r="L97" s="14">
        <v>0.306</v>
      </c>
      <c r="M97" s="14">
        <v>0.068</v>
      </c>
      <c r="N97" s="14">
        <v>185</v>
      </c>
      <c r="O97" s="20">
        <f t="shared" si="5"/>
        <v>0.126</v>
      </c>
      <c r="P97" s="20">
        <f t="shared" si="8"/>
        <v>1.85294117647059</v>
      </c>
      <c r="Q97" s="20">
        <f t="shared" si="9"/>
        <v>0.01338444</v>
      </c>
      <c r="R97" s="20">
        <f t="shared" si="6"/>
        <v>2.7</v>
      </c>
      <c r="S97" s="23">
        <v>1</v>
      </c>
      <c r="T97" s="14">
        <v>1</v>
      </c>
      <c r="U97" s="14">
        <v>2</v>
      </c>
      <c r="V97" s="14">
        <v>1</v>
      </c>
      <c r="W97" s="14">
        <v>1</v>
      </c>
      <c r="X97" s="14">
        <v>3</v>
      </c>
      <c r="Y97" s="14">
        <v>4</v>
      </c>
      <c r="Z97" s="1">
        <v>0</v>
      </c>
      <c r="AA97" s="20">
        <v>1.024</v>
      </c>
      <c r="AB97" s="1">
        <v>13.3</v>
      </c>
      <c r="AC97" s="1">
        <v>143</v>
      </c>
      <c r="AD97" s="1">
        <v>5.59</v>
      </c>
      <c r="AE97" s="7">
        <v>0.413</v>
      </c>
      <c r="AF97" s="8">
        <v>88.1</v>
      </c>
      <c r="AG97" s="1">
        <v>346</v>
      </c>
      <c r="AH97" s="8">
        <v>11.4</v>
      </c>
      <c r="AI97" s="8">
        <v>42.1</v>
      </c>
      <c r="AJ97" s="9">
        <v>4.06</v>
      </c>
      <c r="AK97" s="8">
        <v>38.5</v>
      </c>
      <c r="AL97" s="8">
        <v>9.1</v>
      </c>
      <c r="AM97" s="8">
        <v>3.4</v>
      </c>
      <c r="AN97" s="9">
        <v>12.2</v>
      </c>
      <c r="AO97" s="8">
        <v>13.8</v>
      </c>
      <c r="AP97" s="9">
        <v>10.5</v>
      </c>
      <c r="AQ97" s="1">
        <v>5.16</v>
      </c>
      <c r="AR97" s="8">
        <v>74.9</v>
      </c>
      <c r="AS97" s="8">
        <v>233.9</v>
      </c>
      <c r="AT97" s="9">
        <v>4.39</v>
      </c>
      <c r="AU97" s="9">
        <v>1.61</v>
      </c>
      <c r="AV97" s="9">
        <v>2.16</v>
      </c>
      <c r="AW97" s="9">
        <v>1.09</v>
      </c>
      <c r="AX97" s="9">
        <v>3.8</v>
      </c>
      <c r="AY97" s="8">
        <v>140.7</v>
      </c>
      <c r="AZ97" s="8">
        <v>27.3</v>
      </c>
      <c r="BA97" s="9">
        <v>0.79</v>
      </c>
      <c r="BB97" s="9">
        <v>2.84</v>
      </c>
      <c r="BC97" s="8">
        <v>214.8</v>
      </c>
      <c r="BD97" s="10">
        <v>1202</v>
      </c>
      <c r="BE97" s="10">
        <v>1</v>
      </c>
    </row>
    <row r="98" ht="15.6" spans="1:57">
      <c r="A98" s="14">
        <v>97</v>
      </c>
      <c r="B98" s="14" t="s">
        <v>151</v>
      </c>
      <c r="C98" s="15">
        <v>0</v>
      </c>
      <c r="D98" s="14">
        <v>1</v>
      </c>
      <c r="E98" s="14">
        <v>57</v>
      </c>
      <c r="F98" s="14">
        <v>0</v>
      </c>
      <c r="G98" s="14">
        <v>0</v>
      </c>
      <c r="H98" s="14">
        <v>178</v>
      </c>
      <c r="I98" s="14">
        <v>81</v>
      </c>
      <c r="J98" s="19">
        <f t="shared" si="7"/>
        <v>25.5649539199596</v>
      </c>
      <c r="K98" s="14">
        <v>0.557</v>
      </c>
      <c r="L98" s="14">
        <v>0.339</v>
      </c>
      <c r="M98" s="14">
        <v>0.084</v>
      </c>
      <c r="N98" s="14">
        <v>144</v>
      </c>
      <c r="O98" s="20">
        <f t="shared" si="5"/>
        <v>0.138017699115044</v>
      </c>
      <c r="P98" s="20">
        <f t="shared" si="8"/>
        <v>1.64306784660767</v>
      </c>
      <c r="Q98" s="20">
        <f t="shared" si="9"/>
        <v>0.0132603407407407</v>
      </c>
      <c r="R98" s="20">
        <f t="shared" si="6"/>
        <v>2.19753086419753</v>
      </c>
      <c r="S98" s="23">
        <v>1</v>
      </c>
      <c r="T98" s="14">
        <v>1</v>
      </c>
      <c r="U98" s="14">
        <v>2</v>
      </c>
      <c r="V98" s="14">
        <v>0</v>
      </c>
      <c r="W98" s="14">
        <v>0</v>
      </c>
      <c r="X98" s="14">
        <v>3</v>
      </c>
      <c r="Y98" s="14">
        <v>2</v>
      </c>
      <c r="Z98" s="14">
        <v>0</v>
      </c>
      <c r="AA98" s="20">
        <v>1.015</v>
      </c>
      <c r="AB98" s="1">
        <v>0.4</v>
      </c>
      <c r="AC98" s="1">
        <v>138</v>
      </c>
      <c r="AD98" s="1">
        <v>4.9</v>
      </c>
      <c r="AE98" s="7">
        <v>0.425</v>
      </c>
      <c r="AF98" s="8">
        <v>98.2</v>
      </c>
      <c r="AG98" s="1">
        <v>325</v>
      </c>
      <c r="AH98" s="8">
        <v>12</v>
      </c>
      <c r="AI98" s="8">
        <v>40.3</v>
      </c>
      <c r="AJ98" s="9">
        <v>2.17</v>
      </c>
      <c r="AK98" s="8">
        <v>38.5</v>
      </c>
      <c r="AL98" s="8">
        <v>11.6</v>
      </c>
      <c r="AM98" s="8">
        <v>3.1</v>
      </c>
      <c r="AN98" s="9">
        <v>12.1</v>
      </c>
      <c r="AO98" s="8">
        <v>20.7</v>
      </c>
      <c r="AP98" s="9">
        <v>5.12</v>
      </c>
      <c r="AQ98" s="1">
        <v>5.57</v>
      </c>
      <c r="AR98" s="8">
        <v>86.1</v>
      </c>
      <c r="AS98" s="8">
        <v>349.2</v>
      </c>
      <c r="AT98" s="9">
        <v>4.5</v>
      </c>
      <c r="AU98" s="9">
        <v>2.71</v>
      </c>
      <c r="AV98" s="9">
        <v>2.18</v>
      </c>
      <c r="AW98" s="9">
        <v>1.2</v>
      </c>
      <c r="AX98" s="9">
        <v>4.09</v>
      </c>
      <c r="AY98" s="8">
        <v>142.9</v>
      </c>
      <c r="AZ98" s="8">
        <v>26.8</v>
      </c>
      <c r="BA98" s="9">
        <v>0.85</v>
      </c>
      <c r="BB98" s="9">
        <v>2.94</v>
      </c>
      <c r="BC98" s="8">
        <v>154.7</v>
      </c>
      <c r="BD98" s="10">
        <v>2207</v>
      </c>
      <c r="BE98" s="10">
        <v>0</v>
      </c>
    </row>
    <row r="99" ht="15.6" spans="1:57">
      <c r="A99" s="14">
        <v>98</v>
      </c>
      <c r="B99" s="14" t="s">
        <v>152</v>
      </c>
      <c r="C99" s="15">
        <v>1</v>
      </c>
      <c r="D99" s="14">
        <v>1</v>
      </c>
      <c r="E99" s="14">
        <v>66</v>
      </c>
      <c r="F99" s="14">
        <v>0</v>
      </c>
      <c r="G99" s="14">
        <v>1</v>
      </c>
      <c r="H99" s="14">
        <v>171</v>
      </c>
      <c r="I99" s="14">
        <v>65</v>
      </c>
      <c r="J99" s="19">
        <f t="shared" si="7"/>
        <v>22.2290619335864</v>
      </c>
      <c r="K99" s="14">
        <v>0.601</v>
      </c>
      <c r="L99" s="14">
        <v>0.303</v>
      </c>
      <c r="M99" s="14">
        <v>0.083</v>
      </c>
      <c r="N99" s="14">
        <v>238</v>
      </c>
      <c r="O99" s="20">
        <f t="shared" si="5"/>
        <v>0.164630363036304</v>
      </c>
      <c r="P99" s="20">
        <f t="shared" si="8"/>
        <v>1.98349834983498</v>
      </c>
      <c r="Q99" s="20">
        <f t="shared" si="9"/>
        <v>0.0136308046153846</v>
      </c>
      <c r="R99" s="20">
        <f t="shared" si="6"/>
        <v>2.63076923076923</v>
      </c>
      <c r="S99" s="23">
        <v>1</v>
      </c>
      <c r="T99" s="14">
        <v>1</v>
      </c>
      <c r="U99" s="14">
        <v>2</v>
      </c>
      <c r="V99" s="14">
        <v>0</v>
      </c>
      <c r="W99" s="14">
        <v>0</v>
      </c>
      <c r="X99" s="14">
        <v>2</v>
      </c>
      <c r="Y99" s="14">
        <v>2</v>
      </c>
      <c r="Z99" s="1">
        <v>0</v>
      </c>
      <c r="AA99" s="20">
        <v>1.014</v>
      </c>
      <c r="AB99" s="1">
        <v>8.2</v>
      </c>
      <c r="AC99" s="1">
        <v>147</v>
      </c>
      <c r="AD99" s="1">
        <v>6.11</v>
      </c>
      <c r="AE99" s="7">
        <v>0.429</v>
      </c>
      <c r="AF99" s="8">
        <v>91.9</v>
      </c>
      <c r="AG99" s="1">
        <v>343</v>
      </c>
      <c r="AH99" s="8">
        <v>8.9</v>
      </c>
      <c r="AI99" s="8">
        <v>36.4</v>
      </c>
      <c r="AJ99" s="9">
        <v>2.64</v>
      </c>
      <c r="AK99" s="8">
        <v>41</v>
      </c>
      <c r="AL99" s="8">
        <v>14.3</v>
      </c>
      <c r="AM99" s="8">
        <v>4.2</v>
      </c>
      <c r="AN99" s="9">
        <v>11.5</v>
      </c>
      <c r="AO99" s="8">
        <v>17.1</v>
      </c>
      <c r="AP99" s="9">
        <v>4.15</v>
      </c>
      <c r="AQ99" s="1">
        <v>3.37</v>
      </c>
      <c r="AR99" s="8">
        <v>68.5</v>
      </c>
      <c r="AS99" s="8">
        <v>227.3</v>
      </c>
      <c r="AT99" s="9">
        <v>3.82</v>
      </c>
      <c r="AU99" s="9">
        <v>1.07</v>
      </c>
      <c r="AV99" s="9">
        <v>2.22</v>
      </c>
      <c r="AW99" s="9">
        <v>0.98</v>
      </c>
      <c r="AX99" s="9">
        <v>3.73</v>
      </c>
      <c r="AY99" s="8">
        <v>143.3</v>
      </c>
      <c r="AZ99" s="8">
        <v>27.3</v>
      </c>
      <c r="BA99" s="9">
        <v>1.46</v>
      </c>
      <c r="BB99" s="9">
        <v>2.26</v>
      </c>
      <c r="BC99" s="8">
        <v>147.8</v>
      </c>
      <c r="BD99" s="10">
        <v>2193</v>
      </c>
      <c r="BE99" s="10">
        <v>0</v>
      </c>
    </row>
    <row r="100" ht="15.6" spans="1:57">
      <c r="A100" s="14">
        <v>99</v>
      </c>
      <c r="B100" s="14" t="s">
        <v>153</v>
      </c>
      <c r="C100" s="15">
        <v>1</v>
      </c>
      <c r="D100" s="14">
        <v>1</v>
      </c>
      <c r="E100" s="14">
        <v>53</v>
      </c>
      <c r="F100" s="14">
        <v>0</v>
      </c>
      <c r="G100" s="14">
        <v>0</v>
      </c>
      <c r="H100" s="14">
        <v>160</v>
      </c>
      <c r="I100" s="14">
        <v>56</v>
      </c>
      <c r="J100" s="19">
        <f t="shared" si="7"/>
        <v>21.875</v>
      </c>
      <c r="K100" s="14">
        <v>0.581</v>
      </c>
      <c r="L100" s="14">
        <v>0.295</v>
      </c>
      <c r="M100" s="14">
        <v>0.075</v>
      </c>
      <c r="N100" s="14">
        <v>200</v>
      </c>
      <c r="O100" s="20">
        <f t="shared" si="5"/>
        <v>0.14771186440678</v>
      </c>
      <c r="P100" s="20">
        <f t="shared" si="8"/>
        <v>1.96949152542373</v>
      </c>
      <c r="Q100" s="20">
        <f t="shared" si="9"/>
        <v>0.0134857142857143</v>
      </c>
      <c r="R100" s="20">
        <f t="shared" si="6"/>
        <v>2.85714285714286</v>
      </c>
      <c r="S100" s="23">
        <v>1</v>
      </c>
      <c r="T100" s="14">
        <v>2</v>
      </c>
      <c r="U100" s="14">
        <v>2</v>
      </c>
      <c r="V100" s="14">
        <v>2</v>
      </c>
      <c r="W100" s="14">
        <v>1</v>
      </c>
      <c r="X100" s="14">
        <v>2</v>
      </c>
      <c r="Y100" s="14">
        <v>4</v>
      </c>
      <c r="Z100" s="14">
        <v>0</v>
      </c>
      <c r="AA100" s="20">
        <v>1.005</v>
      </c>
      <c r="AB100" s="1">
        <v>6.5</v>
      </c>
      <c r="AC100" s="1">
        <v>152</v>
      </c>
      <c r="AD100" s="1">
        <v>7.57</v>
      </c>
      <c r="AE100" s="7">
        <v>0.45</v>
      </c>
      <c r="AF100" s="8">
        <v>91.6</v>
      </c>
      <c r="AG100" s="1">
        <v>338</v>
      </c>
      <c r="AH100" s="8">
        <v>9.7</v>
      </c>
      <c r="AI100" s="8">
        <v>40.4</v>
      </c>
      <c r="AJ100" s="9">
        <v>3.64</v>
      </c>
      <c r="AK100" s="8">
        <v>39.4</v>
      </c>
      <c r="AL100" s="8">
        <v>4.4</v>
      </c>
      <c r="AM100" s="8">
        <v>1.6</v>
      </c>
      <c r="AN100" s="9">
        <v>16.9</v>
      </c>
      <c r="AO100" s="8">
        <v>31.5</v>
      </c>
      <c r="AP100" s="9">
        <v>4.21</v>
      </c>
      <c r="AQ100" s="9">
        <v>4</v>
      </c>
      <c r="AR100" s="8">
        <v>77.6</v>
      </c>
      <c r="AS100" s="8">
        <v>170.6</v>
      </c>
      <c r="AT100" s="9">
        <v>4.9</v>
      </c>
      <c r="AU100" s="9">
        <v>1.57</v>
      </c>
      <c r="AV100" s="9">
        <v>2.26</v>
      </c>
      <c r="AW100" s="9">
        <v>1.32</v>
      </c>
      <c r="AX100" s="9">
        <v>4.02</v>
      </c>
      <c r="AY100" s="8">
        <v>135.8</v>
      </c>
      <c r="AZ100" s="8">
        <v>25.3</v>
      </c>
      <c r="BA100" s="9">
        <v>1.07</v>
      </c>
      <c r="BB100" s="9">
        <v>3.28</v>
      </c>
      <c r="BC100" s="8">
        <v>143.8</v>
      </c>
      <c r="BD100" s="10">
        <v>826</v>
      </c>
      <c r="BE100" s="10">
        <v>1</v>
      </c>
    </row>
    <row r="101" ht="15.6" spans="1:57">
      <c r="A101" s="14">
        <v>100</v>
      </c>
      <c r="B101" s="14" t="s">
        <v>154</v>
      </c>
      <c r="C101" s="15">
        <v>1</v>
      </c>
      <c r="D101" s="14">
        <v>1</v>
      </c>
      <c r="E101" s="14">
        <v>53</v>
      </c>
      <c r="F101" s="14">
        <v>0</v>
      </c>
      <c r="G101" s="14">
        <v>0</v>
      </c>
      <c r="H101" s="14">
        <v>176</v>
      </c>
      <c r="I101" s="14">
        <v>65</v>
      </c>
      <c r="J101" s="19">
        <f t="shared" si="7"/>
        <v>20.9839876033058</v>
      </c>
      <c r="K101" s="14">
        <v>0.627</v>
      </c>
      <c r="L101" s="20">
        <v>0.26</v>
      </c>
      <c r="M101" s="14">
        <v>0.109</v>
      </c>
      <c r="N101" s="14">
        <v>184</v>
      </c>
      <c r="O101" s="20">
        <f t="shared" si="5"/>
        <v>0.262857692307692</v>
      </c>
      <c r="P101" s="20">
        <f t="shared" si="8"/>
        <v>2.41153846153846</v>
      </c>
      <c r="Q101" s="20">
        <f t="shared" si="9"/>
        <v>0.0123904</v>
      </c>
      <c r="R101" s="20">
        <f t="shared" si="6"/>
        <v>2.70769230769231</v>
      </c>
      <c r="S101" s="23">
        <v>4</v>
      </c>
      <c r="T101" s="14">
        <v>2</v>
      </c>
      <c r="U101" s="14">
        <v>2</v>
      </c>
      <c r="V101" s="14">
        <v>0</v>
      </c>
      <c r="W101" s="14">
        <v>0</v>
      </c>
      <c r="X101" s="14">
        <v>2</v>
      </c>
      <c r="Y101" s="14">
        <v>2</v>
      </c>
      <c r="Z101" s="1">
        <v>0</v>
      </c>
      <c r="AA101" s="20">
        <v>1.025</v>
      </c>
      <c r="AB101" s="1">
        <v>8.3</v>
      </c>
      <c r="AC101" s="1">
        <v>143</v>
      </c>
      <c r="AD101" s="1">
        <v>5.7</v>
      </c>
      <c r="AE101" s="7">
        <v>0.419</v>
      </c>
      <c r="AF101" s="8">
        <v>92.7</v>
      </c>
      <c r="AG101" s="1">
        <v>341</v>
      </c>
      <c r="AH101" s="8">
        <v>9.6</v>
      </c>
      <c r="AI101" s="8">
        <v>27.1</v>
      </c>
      <c r="AJ101" s="9">
        <v>5.53</v>
      </c>
      <c r="AK101" s="8">
        <v>42.7</v>
      </c>
      <c r="AL101" s="8">
        <v>9.2</v>
      </c>
      <c r="AM101" s="8">
        <v>3.2</v>
      </c>
      <c r="AN101" s="9">
        <v>20</v>
      </c>
      <c r="AO101" s="8">
        <v>22.1</v>
      </c>
      <c r="AP101" s="9">
        <v>4.77</v>
      </c>
      <c r="AQ101" s="1">
        <v>6.17</v>
      </c>
      <c r="AR101" s="8">
        <v>61.5</v>
      </c>
      <c r="AS101" s="8">
        <v>335.1</v>
      </c>
      <c r="AT101" s="9">
        <v>5.15</v>
      </c>
      <c r="AU101" s="9">
        <v>0.76</v>
      </c>
      <c r="AV101" s="9">
        <v>2.16</v>
      </c>
      <c r="AW101" s="9">
        <v>0.9</v>
      </c>
      <c r="AX101" s="9">
        <v>3.76</v>
      </c>
      <c r="AY101" s="8">
        <v>137.8</v>
      </c>
      <c r="AZ101" s="8">
        <v>26.1</v>
      </c>
      <c r="BA101" s="9">
        <v>1.61</v>
      </c>
      <c r="BB101" s="9">
        <v>3.19</v>
      </c>
      <c r="BC101" s="8">
        <v>131.3</v>
      </c>
      <c r="BD101" s="10">
        <v>2178</v>
      </c>
      <c r="BE101" s="10">
        <v>0</v>
      </c>
    </row>
    <row r="102" ht="15.6" spans="1:57">
      <c r="A102" s="14">
        <v>101</v>
      </c>
      <c r="B102" s="14" t="s">
        <v>155</v>
      </c>
      <c r="C102" s="15">
        <v>0</v>
      </c>
      <c r="D102" s="14">
        <v>1</v>
      </c>
      <c r="E102" s="14">
        <v>70</v>
      </c>
      <c r="F102" s="14">
        <v>1</v>
      </c>
      <c r="G102" s="14">
        <v>1</v>
      </c>
      <c r="H102" s="14">
        <v>165</v>
      </c>
      <c r="I102" s="14">
        <v>50</v>
      </c>
      <c r="J102" s="19">
        <f t="shared" si="7"/>
        <v>18.3654729109275</v>
      </c>
      <c r="K102" s="14">
        <v>0.437</v>
      </c>
      <c r="L102" s="14">
        <v>0.465</v>
      </c>
      <c r="M102" s="20">
        <v>0.09</v>
      </c>
      <c r="N102" s="14">
        <v>211</v>
      </c>
      <c r="O102" s="20">
        <f t="shared" si="5"/>
        <v>0.0845806451612903</v>
      </c>
      <c r="P102" s="20">
        <f t="shared" si="8"/>
        <v>0.939784946236559</v>
      </c>
      <c r="Q102" s="20">
        <f t="shared" si="9"/>
        <v>0.02531925</v>
      </c>
      <c r="R102" s="20">
        <f t="shared" si="6"/>
        <v>3.3</v>
      </c>
      <c r="S102" s="23">
        <v>1</v>
      </c>
      <c r="T102" s="14">
        <v>1</v>
      </c>
      <c r="U102" s="14">
        <v>2</v>
      </c>
      <c r="V102" s="14">
        <v>0</v>
      </c>
      <c r="W102" s="14">
        <v>0</v>
      </c>
      <c r="X102" s="14">
        <v>2</v>
      </c>
      <c r="Y102" s="14">
        <v>2</v>
      </c>
      <c r="Z102" s="14">
        <v>0</v>
      </c>
      <c r="AA102" s="20">
        <v>1.039</v>
      </c>
      <c r="AB102" s="1">
        <v>0.5</v>
      </c>
      <c r="AC102" s="1">
        <v>147</v>
      </c>
      <c r="AD102" s="8">
        <v>4</v>
      </c>
      <c r="AE102" s="7">
        <v>0.414</v>
      </c>
      <c r="AF102" s="1">
        <v>97.9</v>
      </c>
      <c r="AG102" s="1">
        <v>355</v>
      </c>
      <c r="AH102" s="1">
        <v>9.1</v>
      </c>
      <c r="AI102" s="1">
        <v>32.5</v>
      </c>
      <c r="AJ102" s="9">
        <v>3.8</v>
      </c>
      <c r="AK102" s="1">
        <v>63.5</v>
      </c>
      <c r="AL102" s="8">
        <v>14.4</v>
      </c>
      <c r="AM102" s="1">
        <v>4.6</v>
      </c>
      <c r="AN102" s="9">
        <v>10.3</v>
      </c>
      <c r="AO102" s="8">
        <v>37.8</v>
      </c>
      <c r="AP102" s="9">
        <v>13.1</v>
      </c>
      <c r="AQ102" s="1">
        <v>4.72</v>
      </c>
      <c r="AR102" s="1">
        <v>50.5</v>
      </c>
      <c r="AS102" s="1">
        <v>173.4</v>
      </c>
      <c r="AT102" s="1">
        <v>4.92</v>
      </c>
      <c r="AU102" s="9">
        <v>1.27</v>
      </c>
      <c r="AV102" s="1">
        <v>2.22</v>
      </c>
      <c r="AW102" s="1">
        <v>1.04</v>
      </c>
      <c r="AX102" s="1">
        <v>4.35</v>
      </c>
      <c r="AY102" s="1">
        <v>138.4</v>
      </c>
      <c r="AZ102" s="8">
        <v>29.4</v>
      </c>
      <c r="BA102" s="1">
        <v>1.59</v>
      </c>
      <c r="BB102" s="9">
        <v>3.02</v>
      </c>
      <c r="BC102" s="1">
        <v>34.4</v>
      </c>
      <c r="BD102" s="10">
        <v>2173</v>
      </c>
      <c r="BE102" s="10">
        <v>0</v>
      </c>
    </row>
    <row r="103" ht="15.6" spans="1:57">
      <c r="A103" s="14">
        <v>102</v>
      </c>
      <c r="B103" s="14" t="s">
        <v>156</v>
      </c>
      <c r="C103" s="15">
        <v>1</v>
      </c>
      <c r="D103" s="14">
        <v>1</v>
      </c>
      <c r="E103" s="14">
        <v>65</v>
      </c>
      <c r="F103" s="14">
        <v>0</v>
      </c>
      <c r="G103" s="14">
        <v>0</v>
      </c>
      <c r="H103" s="14">
        <v>175</v>
      </c>
      <c r="I103" s="14">
        <v>82</v>
      </c>
      <c r="J103" s="19">
        <f t="shared" si="7"/>
        <v>26.7755102040816</v>
      </c>
      <c r="K103" s="14">
        <v>0.504</v>
      </c>
      <c r="L103" s="14">
        <v>0.304</v>
      </c>
      <c r="M103" s="14">
        <v>0.109</v>
      </c>
      <c r="N103" s="14">
        <v>106</v>
      </c>
      <c r="O103" s="20">
        <f t="shared" si="5"/>
        <v>0.180710526315789</v>
      </c>
      <c r="P103" s="20">
        <f t="shared" si="8"/>
        <v>1.65789473684211</v>
      </c>
      <c r="Q103" s="20">
        <f t="shared" si="9"/>
        <v>0.0113536585365854</v>
      </c>
      <c r="R103" s="20">
        <f t="shared" si="6"/>
        <v>2.13414634146341</v>
      </c>
      <c r="S103" s="23">
        <v>1</v>
      </c>
      <c r="T103" s="14">
        <v>1</v>
      </c>
      <c r="U103" s="14">
        <v>2</v>
      </c>
      <c r="V103" s="14">
        <v>2</v>
      </c>
      <c r="W103" s="14">
        <v>1</v>
      </c>
      <c r="X103" s="14">
        <v>3</v>
      </c>
      <c r="Y103" s="14">
        <v>4</v>
      </c>
      <c r="Z103" s="1">
        <v>0</v>
      </c>
      <c r="AA103" s="20">
        <v>1.013</v>
      </c>
      <c r="AB103" s="1">
        <v>4.3</v>
      </c>
      <c r="AC103" s="1">
        <v>145</v>
      </c>
      <c r="AD103" s="1">
        <v>5.43</v>
      </c>
      <c r="AE103" s="7">
        <v>0.411</v>
      </c>
      <c r="AF103" s="1">
        <v>96.7</v>
      </c>
      <c r="AG103" s="1">
        <v>353</v>
      </c>
      <c r="AH103" s="1">
        <v>11.2</v>
      </c>
      <c r="AI103" s="1">
        <v>41.8</v>
      </c>
      <c r="AJ103" s="9">
        <v>2.65</v>
      </c>
      <c r="AK103" s="1">
        <v>31.9</v>
      </c>
      <c r="AL103" s="8">
        <v>34.7</v>
      </c>
      <c r="AM103" s="1">
        <v>13.7</v>
      </c>
      <c r="AN103" s="9">
        <v>22.2</v>
      </c>
      <c r="AO103" s="8">
        <v>37.3</v>
      </c>
      <c r="AP103" s="9">
        <v>4.21</v>
      </c>
      <c r="AQ103" s="1">
        <v>4.43</v>
      </c>
      <c r="AR103" s="1">
        <v>88.7</v>
      </c>
      <c r="AS103" s="1">
        <v>253.1</v>
      </c>
      <c r="AT103" s="1">
        <v>3.29</v>
      </c>
      <c r="AU103" s="9">
        <v>0.83</v>
      </c>
      <c r="AV103" s="1">
        <v>2.31</v>
      </c>
      <c r="AW103" s="1">
        <v>1.01</v>
      </c>
      <c r="AX103" s="1">
        <v>4.39</v>
      </c>
      <c r="AY103" s="1">
        <v>136.4</v>
      </c>
      <c r="AZ103" s="8">
        <v>25.7</v>
      </c>
      <c r="BA103" s="1">
        <v>1.51</v>
      </c>
      <c r="BB103" s="9">
        <v>1.64</v>
      </c>
      <c r="BC103" s="1">
        <v>15.7</v>
      </c>
      <c r="BD103" s="10">
        <v>647</v>
      </c>
      <c r="BE103" s="10">
        <v>1</v>
      </c>
    </row>
    <row r="104" ht="15.6" spans="1:57">
      <c r="A104" s="14">
        <v>103</v>
      </c>
      <c r="B104" s="14" t="s">
        <v>157</v>
      </c>
      <c r="C104" s="15">
        <v>1</v>
      </c>
      <c r="D104" s="14">
        <v>1</v>
      </c>
      <c r="E104" s="14">
        <v>32</v>
      </c>
      <c r="F104" s="14">
        <v>0</v>
      </c>
      <c r="G104" s="14">
        <v>0</v>
      </c>
      <c r="H104" s="14">
        <v>170</v>
      </c>
      <c r="I104" s="14">
        <v>104</v>
      </c>
      <c r="J104" s="19">
        <f t="shared" si="7"/>
        <v>35.9861591695502</v>
      </c>
      <c r="K104" s="14">
        <v>0.571</v>
      </c>
      <c r="L104" s="14">
        <v>0.322</v>
      </c>
      <c r="M104" s="14">
        <v>0.063</v>
      </c>
      <c r="N104" s="14">
        <v>332</v>
      </c>
      <c r="O104" s="20">
        <f t="shared" si="5"/>
        <v>0.111717391304348</v>
      </c>
      <c r="P104" s="20">
        <f t="shared" si="8"/>
        <v>1.77329192546584</v>
      </c>
      <c r="Q104" s="20">
        <f t="shared" si="9"/>
        <v>0.00894788461538461</v>
      </c>
      <c r="R104" s="20">
        <f t="shared" si="6"/>
        <v>1.63461538461538</v>
      </c>
      <c r="S104" s="23">
        <v>4</v>
      </c>
      <c r="T104" s="14">
        <v>1</v>
      </c>
      <c r="U104" s="14">
        <v>2</v>
      </c>
      <c r="V104" s="14">
        <v>2</v>
      </c>
      <c r="W104" s="14">
        <v>1</v>
      </c>
      <c r="X104" s="14">
        <v>2</v>
      </c>
      <c r="Y104" s="14">
        <v>4</v>
      </c>
      <c r="Z104" s="14">
        <v>0</v>
      </c>
      <c r="AA104" s="20">
        <v>1.025</v>
      </c>
      <c r="AB104" s="1">
        <v>18.7</v>
      </c>
      <c r="AC104" s="1">
        <v>158</v>
      </c>
      <c r="AD104" s="1">
        <v>9.14</v>
      </c>
      <c r="AE104" s="7">
        <v>0.479</v>
      </c>
      <c r="AF104" s="1">
        <v>90.2</v>
      </c>
      <c r="AG104" s="1">
        <v>330</v>
      </c>
      <c r="AH104" s="1">
        <v>10.2</v>
      </c>
      <c r="AI104" s="1">
        <v>34.3</v>
      </c>
      <c r="AJ104" s="9">
        <v>4.08</v>
      </c>
      <c r="AK104" s="1">
        <v>46.9</v>
      </c>
      <c r="AL104" s="8">
        <v>10.8</v>
      </c>
      <c r="AM104" s="1">
        <v>2.6</v>
      </c>
      <c r="AN104" s="9">
        <v>13.8</v>
      </c>
      <c r="AO104" s="8">
        <v>37.6</v>
      </c>
      <c r="AP104" s="9">
        <v>5.39</v>
      </c>
      <c r="AQ104" s="1">
        <v>4.17</v>
      </c>
      <c r="AR104" s="1">
        <v>72.7</v>
      </c>
      <c r="AS104" s="1">
        <v>465</v>
      </c>
      <c r="AT104" s="1">
        <v>5.03</v>
      </c>
      <c r="AU104" s="9">
        <v>2.11</v>
      </c>
      <c r="AV104" s="1">
        <v>2.33</v>
      </c>
      <c r="AW104" s="1">
        <v>1.32</v>
      </c>
      <c r="AX104" s="1">
        <v>4.01</v>
      </c>
      <c r="AY104" s="1">
        <v>135.4</v>
      </c>
      <c r="AZ104" s="8">
        <v>98.3</v>
      </c>
      <c r="BA104" s="1">
        <v>1.06</v>
      </c>
      <c r="BB104" s="9">
        <v>3.36</v>
      </c>
      <c r="BC104" s="1">
        <v>10.7</v>
      </c>
      <c r="BD104" s="10">
        <v>2131</v>
      </c>
      <c r="BE104" s="10">
        <v>0</v>
      </c>
    </row>
    <row r="105" ht="15.6" spans="1:57">
      <c r="A105" s="14">
        <v>104</v>
      </c>
      <c r="B105" s="14" t="s">
        <v>158</v>
      </c>
      <c r="C105" s="15">
        <v>0</v>
      </c>
      <c r="D105" s="14">
        <v>2</v>
      </c>
      <c r="E105" s="14">
        <v>24</v>
      </c>
      <c r="F105" s="14">
        <v>0</v>
      </c>
      <c r="G105" s="14">
        <v>1</v>
      </c>
      <c r="H105" s="14">
        <v>155</v>
      </c>
      <c r="I105" s="14">
        <v>59</v>
      </c>
      <c r="J105" s="19">
        <f t="shared" si="7"/>
        <v>24.5577523413111</v>
      </c>
      <c r="K105" s="14">
        <v>0.555</v>
      </c>
      <c r="L105" s="20">
        <v>0.37</v>
      </c>
      <c r="M105" s="14">
        <v>0.044</v>
      </c>
      <c r="N105" s="14">
        <v>224</v>
      </c>
      <c r="O105" s="20">
        <f t="shared" si="5"/>
        <v>0.066</v>
      </c>
      <c r="P105" s="20">
        <f t="shared" si="8"/>
        <v>1.5</v>
      </c>
      <c r="Q105" s="20">
        <f t="shared" si="9"/>
        <v>0.0150665254237288</v>
      </c>
      <c r="R105" s="20">
        <f t="shared" si="6"/>
        <v>2.6271186440678</v>
      </c>
      <c r="S105" s="23">
        <v>1</v>
      </c>
      <c r="T105" s="14">
        <v>1</v>
      </c>
      <c r="U105" s="14">
        <v>3</v>
      </c>
      <c r="V105" s="14">
        <v>0</v>
      </c>
      <c r="W105" s="14">
        <v>0</v>
      </c>
      <c r="X105" s="14">
        <v>2</v>
      </c>
      <c r="Y105" s="14">
        <v>3</v>
      </c>
      <c r="Z105" s="14">
        <v>1</v>
      </c>
      <c r="AA105" s="20"/>
      <c r="AC105" s="1">
        <v>148</v>
      </c>
      <c r="AD105" s="1">
        <v>7.73</v>
      </c>
      <c r="AE105" s="7">
        <v>0.429</v>
      </c>
      <c r="AF105" s="1">
        <v>83.3</v>
      </c>
      <c r="AG105" s="1">
        <v>345</v>
      </c>
      <c r="AH105" s="1">
        <v>12.4</v>
      </c>
      <c r="AI105" s="1">
        <v>34.9</v>
      </c>
      <c r="AJ105" s="9">
        <v>3.39</v>
      </c>
      <c r="AK105" s="1">
        <v>43</v>
      </c>
      <c r="AL105" s="8">
        <v>6.2</v>
      </c>
      <c r="AM105" s="1">
        <v>2.5</v>
      </c>
      <c r="AO105" s="8">
        <v>23.6</v>
      </c>
      <c r="AP105" s="9">
        <v>5.68</v>
      </c>
      <c r="AQ105" s="1">
        <v>4.29</v>
      </c>
      <c r="AR105" s="1">
        <v>55</v>
      </c>
      <c r="AS105" s="1">
        <v>424.1</v>
      </c>
      <c r="AT105" s="1"/>
      <c r="AV105" s="1">
        <v>2.26</v>
      </c>
      <c r="AW105" s="1">
        <v>1.15</v>
      </c>
      <c r="AX105" s="1">
        <v>3.59</v>
      </c>
      <c r="AY105" s="1">
        <v>141</v>
      </c>
      <c r="AZ105" s="8">
        <v>24.5</v>
      </c>
      <c r="BA105" s="1"/>
      <c r="BC105" s="1"/>
      <c r="BD105" s="10">
        <v>2124</v>
      </c>
      <c r="BE105" s="10">
        <v>0</v>
      </c>
    </row>
    <row r="106" ht="15.6" spans="1:57">
      <c r="A106" s="14">
        <v>105</v>
      </c>
      <c r="B106" s="14" t="s">
        <v>159</v>
      </c>
      <c r="C106" s="15">
        <v>0</v>
      </c>
      <c r="D106" s="14">
        <v>1</v>
      </c>
      <c r="E106" s="14">
        <v>34</v>
      </c>
      <c r="F106" s="14">
        <v>0</v>
      </c>
      <c r="G106" s="14">
        <v>0</v>
      </c>
      <c r="H106" s="14">
        <v>169</v>
      </c>
      <c r="I106" s="14">
        <v>91</v>
      </c>
      <c r="J106" s="19">
        <f t="shared" si="7"/>
        <v>31.8616294947656</v>
      </c>
      <c r="K106" s="14">
        <v>0.558</v>
      </c>
      <c r="L106" s="14">
        <v>0.378</v>
      </c>
      <c r="M106" s="14">
        <v>0.056</v>
      </c>
      <c r="N106" s="14">
        <v>231</v>
      </c>
      <c r="O106" s="20">
        <f t="shared" si="5"/>
        <v>0.0826666666666667</v>
      </c>
      <c r="P106" s="20">
        <f t="shared" si="8"/>
        <v>1.47619047619048</v>
      </c>
      <c r="Q106" s="20">
        <f t="shared" si="9"/>
        <v>0.0118638</v>
      </c>
      <c r="R106" s="20">
        <f t="shared" si="6"/>
        <v>1.85714285714286</v>
      </c>
      <c r="S106" s="23">
        <v>1</v>
      </c>
      <c r="T106" s="14">
        <v>2</v>
      </c>
      <c r="U106" s="14">
        <v>2</v>
      </c>
      <c r="V106" s="14">
        <v>0</v>
      </c>
      <c r="W106" s="14">
        <v>0</v>
      </c>
      <c r="X106" s="14">
        <v>2</v>
      </c>
      <c r="Y106" s="14">
        <v>2</v>
      </c>
      <c r="Z106" s="1">
        <v>0</v>
      </c>
      <c r="AA106" s="20">
        <v>1.029</v>
      </c>
      <c r="AB106" s="1">
        <v>2.9</v>
      </c>
      <c r="AC106" s="1">
        <v>133</v>
      </c>
      <c r="AD106" s="1">
        <v>7.56</v>
      </c>
      <c r="AE106" s="7">
        <v>0.378</v>
      </c>
      <c r="AF106" s="1">
        <v>92.2</v>
      </c>
      <c r="AG106" s="1">
        <v>352</v>
      </c>
      <c r="AH106" s="1">
        <v>11.1</v>
      </c>
      <c r="AI106" s="1">
        <v>39.2</v>
      </c>
      <c r="AJ106" s="9">
        <v>2.71</v>
      </c>
      <c r="AK106" s="1">
        <v>43.6</v>
      </c>
      <c r="AL106" s="8">
        <v>13.8</v>
      </c>
      <c r="AM106" s="1">
        <v>4.3</v>
      </c>
      <c r="AN106" s="9">
        <v>15.1</v>
      </c>
      <c r="AO106" s="8">
        <v>25.8</v>
      </c>
      <c r="AP106" s="9">
        <v>4.57</v>
      </c>
      <c r="AQ106" s="1">
        <v>4.72</v>
      </c>
      <c r="AR106" s="1">
        <v>67.5</v>
      </c>
      <c r="AS106" s="1">
        <v>431.1</v>
      </c>
      <c r="AT106" s="1">
        <v>4.82</v>
      </c>
      <c r="AU106" s="9">
        <v>1.01</v>
      </c>
      <c r="AV106" s="1">
        <v>2.26</v>
      </c>
      <c r="AW106" s="1">
        <v>1.08</v>
      </c>
      <c r="AX106" s="1">
        <v>3.78</v>
      </c>
      <c r="AY106" s="1">
        <v>140.7</v>
      </c>
      <c r="AZ106" s="8">
        <v>22.5</v>
      </c>
      <c r="BA106" s="1">
        <v>0.99</v>
      </c>
      <c r="BB106" s="9">
        <v>3.39</v>
      </c>
      <c r="BC106" s="1">
        <v>10.9</v>
      </c>
      <c r="BD106" s="10">
        <v>2119</v>
      </c>
      <c r="BE106" s="10">
        <v>0</v>
      </c>
    </row>
    <row r="107" ht="15.6" spans="1:57">
      <c r="A107" s="14">
        <v>106</v>
      </c>
      <c r="B107" s="14" t="s">
        <v>160</v>
      </c>
      <c r="C107" s="15">
        <v>0</v>
      </c>
      <c r="D107" s="14">
        <v>1</v>
      </c>
      <c r="E107" s="14">
        <v>68</v>
      </c>
      <c r="F107" s="14">
        <v>0</v>
      </c>
      <c r="G107" s="14">
        <v>1</v>
      </c>
      <c r="H107" s="14">
        <v>172</v>
      </c>
      <c r="I107" s="14">
        <v>55</v>
      </c>
      <c r="J107" s="19">
        <f t="shared" si="7"/>
        <v>18.5911303407247</v>
      </c>
      <c r="K107" s="14">
        <v>0.505</v>
      </c>
      <c r="L107" s="14">
        <v>0.424</v>
      </c>
      <c r="M107" s="14">
        <v>0.049</v>
      </c>
      <c r="N107" s="14">
        <v>112</v>
      </c>
      <c r="O107" s="20">
        <f t="shared" si="5"/>
        <v>0.0583608490566038</v>
      </c>
      <c r="P107" s="20">
        <f t="shared" si="8"/>
        <v>1.19103773584906</v>
      </c>
      <c r="Q107" s="20">
        <f t="shared" si="9"/>
        <v>0.0228065745454545</v>
      </c>
      <c r="R107" s="20">
        <f t="shared" si="6"/>
        <v>3.12727272727273</v>
      </c>
      <c r="S107" s="23">
        <v>1</v>
      </c>
      <c r="T107" s="14">
        <v>1</v>
      </c>
      <c r="U107" s="14">
        <v>2</v>
      </c>
      <c r="V107" s="14">
        <v>0</v>
      </c>
      <c r="W107" s="14">
        <v>0</v>
      </c>
      <c r="X107" s="14">
        <v>3</v>
      </c>
      <c r="Y107" s="14">
        <v>2</v>
      </c>
      <c r="Z107" s="14">
        <v>0</v>
      </c>
      <c r="AA107" s="20">
        <v>1.029</v>
      </c>
      <c r="AB107" s="1">
        <v>5.3</v>
      </c>
      <c r="AC107" s="1">
        <v>146</v>
      </c>
      <c r="AD107" s="1">
        <v>5.94</v>
      </c>
      <c r="AE107" s="7">
        <v>0.434</v>
      </c>
      <c r="AF107" s="1">
        <v>89.1</v>
      </c>
      <c r="AG107" s="1">
        <v>336</v>
      </c>
      <c r="AH107" s="8">
        <v>14</v>
      </c>
      <c r="AI107" s="1">
        <v>33.4</v>
      </c>
      <c r="AJ107" s="9">
        <v>3.1</v>
      </c>
      <c r="AK107" s="1">
        <v>44.9</v>
      </c>
      <c r="AL107" s="8">
        <v>15.5</v>
      </c>
      <c r="AM107" s="1">
        <v>4.7</v>
      </c>
      <c r="AN107" s="9">
        <v>10.1</v>
      </c>
      <c r="AO107" s="8">
        <v>13.5</v>
      </c>
      <c r="AP107" s="9">
        <v>5.72</v>
      </c>
      <c r="AQ107" s="1">
        <v>7.13</v>
      </c>
      <c r="AR107" s="1">
        <v>70</v>
      </c>
      <c r="AS107" s="1">
        <v>102.1</v>
      </c>
      <c r="AT107" s="1">
        <v>4.89</v>
      </c>
      <c r="AU107" s="9">
        <v>0.91</v>
      </c>
      <c r="AV107" s="1">
        <v>2.27</v>
      </c>
      <c r="AW107" s="1">
        <v>1.18</v>
      </c>
      <c r="AX107" s="1">
        <v>3.76</v>
      </c>
      <c r="AY107" s="1">
        <v>145</v>
      </c>
      <c r="AZ107" s="8">
        <v>29.5</v>
      </c>
      <c r="BA107" s="1">
        <v>1.78</v>
      </c>
      <c r="BB107" s="9">
        <v>2.97</v>
      </c>
      <c r="BC107" s="1">
        <v>320.1</v>
      </c>
      <c r="BD107" s="10">
        <v>1638</v>
      </c>
      <c r="BE107" s="10">
        <v>0</v>
      </c>
    </row>
    <row r="108" ht="15.6" spans="1:57">
      <c r="A108" s="14">
        <v>107</v>
      </c>
      <c r="B108" s="14" t="s">
        <v>161</v>
      </c>
      <c r="C108" s="15">
        <v>0</v>
      </c>
      <c r="D108" s="14">
        <v>2</v>
      </c>
      <c r="E108" s="14">
        <v>51</v>
      </c>
      <c r="F108" s="14">
        <v>0</v>
      </c>
      <c r="G108" s="14">
        <v>0</v>
      </c>
      <c r="H108" s="14">
        <v>154</v>
      </c>
      <c r="I108" s="14">
        <v>47</v>
      </c>
      <c r="J108" s="19">
        <f t="shared" si="7"/>
        <v>19.8178444931692</v>
      </c>
      <c r="K108" s="14">
        <v>0.477</v>
      </c>
      <c r="L108" s="14">
        <v>0.435</v>
      </c>
      <c r="M108" s="14">
        <v>0.065</v>
      </c>
      <c r="N108" s="14">
        <v>161</v>
      </c>
      <c r="O108" s="20">
        <f t="shared" si="5"/>
        <v>0.0712758620689655</v>
      </c>
      <c r="P108" s="20">
        <f t="shared" si="8"/>
        <v>1.09655172413793</v>
      </c>
      <c r="Q108" s="20">
        <f t="shared" si="9"/>
        <v>0.021949914893617</v>
      </c>
      <c r="R108" s="20">
        <f t="shared" si="6"/>
        <v>3.27659574468085</v>
      </c>
      <c r="S108" s="23">
        <v>1</v>
      </c>
      <c r="T108" s="14">
        <v>1</v>
      </c>
      <c r="U108" s="14">
        <v>1</v>
      </c>
      <c r="V108" s="14">
        <v>0</v>
      </c>
      <c r="W108" s="14">
        <v>0</v>
      </c>
      <c r="X108" s="14">
        <v>3</v>
      </c>
      <c r="Y108" s="14">
        <v>1</v>
      </c>
      <c r="Z108" s="14">
        <v>0</v>
      </c>
      <c r="AA108" s="20">
        <v>1.011</v>
      </c>
      <c r="AB108" s="1">
        <v>5.7</v>
      </c>
      <c r="AC108" s="1">
        <v>120</v>
      </c>
      <c r="AD108" s="1">
        <v>3.52</v>
      </c>
      <c r="AE108" s="7">
        <v>0.357</v>
      </c>
      <c r="AF108" s="1">
        <v>91.5</v>
      </c>
      <c r="AG108" s="1">
        <v>336</v>
      </c>
      <c r="AH108" s="1">
        <v>9.3</v>
      </c>
      <c r="AI108" s="1">
        <v>33.1</v>
      </c>
      <c r="AJ108" s="9">
        <v>2.93</v>
      </c>
      <c r="AK108" s="1">
        <v>40.8</v>
      </c>
      <c r="AL108" s="8">
        <v>6.1</v>
      </c>
      <c r="AM108" s="1">
        <v>1.9</v>
      </c>
      <c r="AN108" s="9">
        <v>10.8</v>
      </c>
      <c r="AO108" s="8">
        <v>15.1</v>
      </c>
      <c r="AP108" s="9">
        <v>4.87</v>
      </c>
      <c r="AQ108" s="9">
        <v>3.3</v>
      </c>
      <c r="AR108" s="1">
        <v>60.1</v>
      </c>
      <c r="AS108" s="1">
        <v>159.4</v>
      </c>
      <c r="AT108" s="1">
        <v>5.22</v>
      </c>
      <c r="AU108" s="9">
        <v>0.78</v>
      </c>
      <c r="AV108" s="1">
        <v>2.24</v>
      </c>
      <c r="AW108" s="1">
        <v>1.34</v>
      </c>
      <c r="AX108" s="1">
        <v>3.58</v>
      </c>
      <c r="AY108" s="1">
        <v>144</v>
      </c>
      <c r="AZ108" s="8">
        <v>29.6</v>
      </c>
      <c r="BA108" s="1">
        <v>1.33</v>
      </c>
      <c r="BB108" s="9">
        <v>3.73</v>
      </c>
      <c r="BC108" s="1">
        <v>14.7</v>
      </c>
      <c r="BD108" s="10">
        <v>2079</v>
      </c>
      <c r="BE108" s="10">
        <v>0</v>
      </c>
    </row>
    <row r="109" ht="15.6" spans="1:57">
      <c r="A109" s="14">
        <v>108</v>
      </c>
      <c r="B109" s="14" t="s">
        <v>162</v>
      </c>
      <c r="C109" s="15">
        <v>0</v>
      </c>
      <c r="D109" s="14">
        <v>1</v>
      </c>
      <c r="E109" s="14">
        <v>49</v>
      </c>
      <c r="F109" s="14">
        <v>0</v>
      </c>
      <c r="G109" s="14">
        <v>0</v>
      </c>
      <c r="H109" s="14">
        <v>178</v>
      </c>
      <c r="I109" s="14">
        <v>80</v>
      </c>
      <c r="J109" s="19">
        <f t="shared" si="7"/>
        <v>25.2493372048984</v>
      </c>
      <c r="K109" s="14">
        <v>0.566</v>
      </c>
      <c r="L109" s="14">
        <v>0.342</v>
      </c>
      <c r="M109" s="14">
        <v>0.065</v>
      </c>
      <c r="N109" s="14">
        <v>178</v>
      </c>
      <c r="O109" s="20">
        <f t="shared" si="5"/>
        <v>0.107573099415205</v>
      </c>
      <c r="P109" s="20">
        <f t="shared" si="8"/>
        <v>1.65497076023392</v>
      </c>
      <c r="Q109" s="20">
        <f t="shared" si="9"/>
        <v>0.01354491</v>
      </c>
      <c r="R109" s="20">
        <f t="shared" si="6"/>
        <v>2.225</v>
      </c>
      <c r="S109" s="23">
        <v>2</v>
      </c>
      <c r="T109" s="14">
        <v>2</v>
      </c>
      <c r="U109" s="14">
        <v>2</v>
      </c>
      <c r="V109" s="14">
        <v>0</v>
      </c>
      <c r="W109" s="14">
        <v>0</v>
      </c>
      <c r="X109" s="14">
        <v>2</v>
      </c>
      <c r="Y109" s="14">
        <v>2</v>
      </c>
      <c r="Z109" s="1">
        <v>0</v>
      </c>
      <c r="AA109" s="20">
        <v>1.027</v>
      </c>
      <c r="AB109" s="1">
        <v>2.2</v>
      </c>
      <c r="AC109" s="1">
        <v>148</v>
      </c>
      <c r="AD109" s="1">
        <v>5.56</v>
      </c>
      <c r="AE109" s="7">
        <v>0.428</v>
      </c>
      <c r="AF109" s="8">
        <v>88.6</v>
      </c>
      <c r="AG109" s="1">
        <v>346</v>
      </c>
      <c r="AH109" s="8">
        <v>10.6</v>
      </c>
      <c r="AI109" s="8">
        <v>37.2</v>
      </c>
      <c r="AJ109" s="9">
        <v>2.18</v>
      </c>
      <c r="AK109" s="8">
        <v>41</v>
      </c>
      <c r="AL109" s="8">
        <v>8.6</v>
      </c>
      <c r="AM109" s="8">
        <v>2.2</v>
      </c>
      <c r="AN109" s="9">
        <v>14.8</v>
      </c>
      <c r="AO109" s="8">
        <v>23.2</v>
      </c>
      <c r="AP109" s="9">
        <v>3.87</v>
      </c>
      <c r="AQ109" s="1">
        <v>6.39</v>
      </c>
      <c r="AR109" s="8">
        <v>74.6</v>
      </c>
      <c r="AS109" s="8">
        <v>354.2</v>
      </c>
      <c r="AT109" s="9">
        <v>3.59</v>
      </c>
      <c r="AU109" s="9">
        <v>2.71</v>
      </c>
      <c r="AV109" s="9">
        <v>2.12</v>
      </c>
      <c r="AW109" s="9">
        <v>1.57</v>
      </c>
      <c r="AX109" s="9">
        <v>3.73</v>
      </c>
      <c r="AY109" s="8">
        <v>143.4</v>
      </c>
      <c r="AZ109" s="8">
        <v>25.1</v>
      </c>
      <c r="BA109" s="9">
        <v>0.94</v>
      </c>
      <c r="BB109" s="9">
        <v>2.12</v>
      </c>
      <c r="BC109" s="8">
        <v>149.1</v>
      </c>
      <c r="BD109" s="10">
        <v>2068</v>
      </c>
      <c r="BE109" s="10">
        <v>0</v>
      </c>
    </row>
    <row r="110" ht="15.6" spans="1:57">
      <c r="A110" s="14">
        <v>109</v>
      </c>
      <c r="B110" s="14" t="s">
        <v>163</v>
      </c>
      <c r="C110" s="15">
        <v>0</v>
      </c>
      <c r="D110" s="14">
        <v>1</v>
      </c>
      <c r="E110" s="14">
        <v>64</v>
      </c>
      <c r="F110" s="14">
        <v>1</v>
      </c>
      <c r="G110" s="14">
        <v>0</v>
      </c>
      <c r="H110" s="14">
        <v>172</v>
      </c>
      <c r="I110" s="14">
        <v>54</v>
      </c>
      <c r="J110" s="19">
        <f t="shared" si="7"/>
        <v>18.2531097890752</v>
      </c>
      <c r="K110" s="14">
        <v>0.649</v>
      </c>
      <c r="L110" s="14">
        <v>0.279</v>
      </c>
      <c r="M110" s="14">
        <v>0.054</v>
      </c>
      <c r="N110" s="14">
        <v>149</v>
      </c>
      <c r="O110" s="20">
        <f t="shared" si="5"/>
        <v>0.125612903225806</v>
      </c>
      <c r="P110" s="20">
        <f t="shared" si="8"/>
        <v>2.32616487455197</v>
      </c>
      <c r="Q110" s="20">
        <f t="shared" si="9"/>
        <v>0.0152850666666667</v>
      </c>
      <c r="R110" s="20">
        <f t="shared" si="6"/>
        <v>3.18518518518518</v>
      </c>
      <c r="S110" s="23">
        <v>1</v>
      </c>
      <c r="T110" s="14">
        <v>2</v>
      </c>
      <c r="U110" s="14">
        <v>1</v>
      </c>
      <c r="V110" s="14">
        <v>0</v>
      </c>
      <c r="W110" s="14">
        <v>0</v>
      </c>
      <c r="X110" s="14">
        <v>2</v>
      </c>
      <c r="Y110" s="14">
        <v>1</v>
      </c>
      <c r="Z110" s="1">
        <v>0</v>
      </c>
      <c r="AA110" s="20">
        <v>1.015</v>
      </c>
      <c r="AB110" s="1">
        <v>5.7</v>
      </c>
      <c r="AC110" s="1">
        <v>140</v>
      </c>
      <c r="AD110" s="9">
        <v>5.6</v>
      </c>
      <c r="AE110" s="7">
        <v>0.415</v>
      </c>
      <c r="AF110" s="8">
        <v>102</v>
      </c>
      <c r="AG110" s="1">
        <v>337</v>
      </c>
      <c r="AH110" s="8">
        <v>11</v>
      </c>
      <c r="AI110" s="8">
        <v>32</v>
      </c>
      <c r="AJ110" s="9">
        <v>1.3</v>
      </c>
      <c r="AK110" s="8">
        <v>37</v>
      </c>
      <c r="AL110" s="8">
        <v>9.6</v>
      </c>
      <c r="AM110" s="8">
        <v>3.9</v>
      </c>
      <c r="AN110" s="9">
        <v>14.8</v>
      </c>
      <c r="AO110" s="8">
        <v>988.9</v>
      </c>
      <c r="AP110" s="9">
        <v>4.25</v>
      </c>
      <c r="AQ110" s="1">
        <v>3.77</v>
      </c>
      <c r="AR110" s="8">
        <v>97.2</v>
      </c>
      <c r="AS110" s="8">
        <v>324.4</v>
      </c>
      <c r="AT110" s="9">
        <v>4.05</v>
      </c>
      <c r="AU110" s="9">
        <v>1.3</v>
      </c>
      <c r="AV110" s="9">
        <v>2.18</v>
      </c>
      <c r="AW110" s="9">
        <v>0.84</v>
      </c>
      <c r="AX110" s="9">
        <v>4.34</v>
      </c>
      <c r="AY110" s="8">
        <v>145.5</v>
      </c>
      <c r="AZ110" s="8">
        <v>25</v>
      </c>
      <c r="BA110" s="9">
        <v>1.55</v>
      </c>
      <c r="BB110" s="9">
        <v>2.32</v>
      </c>
      <c r="BC110" s="8">
        <v>151.8</v>
      </c>
      <c r="BD110" s="10">
        <v>2061</v>
      </c>
      <c r="BE110" s="10">
        <v>0</v>
      </c>
    </row>
    <row r="111" ht="15.6" spans="1:57">
      <c r="A111" s="14">
        <v>110</v>
      </c>
      <c r="B111" s="14" t="s">
        <v>164</v>
      </c>
      <c r="C111" s="15">
        <v>1</v>
      </c>
      <c r="D111" s="14">
        <v>1</v>
      </c>
      <c r="E111" s="14">
        <v>59</v>
      </c>
      <c r="F111" s="14">
        <v>0</v>
      </c>
      <c r="G111" s="14">
        <v>0</v>
      </c>
      <c r="H111" s="14">
        <v>171</v>
      </c>
      <c r="I111" s="14">
        <v>66</v>
      </c>
      <c r="J111" s="19">
        <f t="shared" si="7"/>
        <v>22.5710475017954</v>
      </c>
      <c r="K111" s="14">
        <v>0.773</v>
      </c>
      <c r="L111" s="14">
        <v>0.152</v>
      </c>
      <c r="M111" s="14">
        <v>0.067</v>
      </c>
      <c r="N111" s="14">
        <v>38</v>
      </c>
      <c r="O111" s="20">
        <f t="shared" si="5"/>
        <v>0.340730263157895</v>
      </c>
      <c r="P111" s="20">
        <f t="shared" si="8"/>
        <v>5.08552631578947</v>
      </c>
      <c r="Q111" s="20">
        <f t="shared" si="9"/>
        <v>0.00673429090909091</v>
      </c>
      <c r="R111" s="20">
        <f t="shared" si="6"/>
        <v>2.59090909090909</v>
      </c>
      <c r="S111" s="23">
        <v>2</v>
      </c>
      <c r="T111" s="14">
        <v>1</v>
      </c>
      <c r="U111" s="14">
        <v>2</v>
      </c>
      <c r="V111" s="14">
        <v>2</v>
      </c>
      <c r="W111" s="14">
        <v>1</v>
      </c>
      <c r="X111" s="14">
        <v>1</v>
      </c>
      <c r="Y111" s="14">
        <v>4</v>
      </c>
      <c r="Z111" s="14">
        <v>0</v>
      </c>
      <c r="AA111" s="20">
        <v>1.008</v>
      </c>
      <c r="AB111" s="1">
        <v>2.6</v>
      </c>
      <c r="AC111" s="1">
        <v>114</v>
      </c>
      <c r="AD111" s="1">
        <v>2.34</v>
      </c>
      <c r="AE111" s="7">
        <v>0.322</v>
      </c>
      <c r="AF111" s="8">
        <v>94.2</v>
      </c>
      <c r="AG111" s="1">
        <v>354</v>
      </c>
      <c r="AH111" s="8">
        <v>10</v>
      </c>
      <c r="AI111" s="8">
        <v>40.3</v>
      </c>
      <c r="AJ111" s="9">
        <v>1.8</v>
      </c>
      <c r="AK111" s="8">
        <v>41.5</v>
      </c>
      <c r="AL111" s="8">
        <v>6</v>
      </c>
      <c r="AM111" s="8">
        <v>15.5</v>
      </c>
      <c r="AN111" s="9">
        <v>16.4</v>
      </c>
      <c r="AO111" s="8">
        <v>109.5</v>
      </c>
      <c r="AP111" s="9">
        <v>5.38</v>
      </c>
      <c r="AQ111" s="1">
        <v>3.75</v>
      </c>
      <c r="AR111" s="8">
        <v>66.9</v>
      </c>
      <c r="AS111" s="8">
        <v>336.3</v>
      </c>
      <c r="AT111" s="9">
        <v>3.3</v>
      </c>
      <c r="AU111" s="9">
        <v>0.71</v>
      </c>
      <c r="AV111" s="9">
        <v>2.16</v>
      </c>
      <c r="AW111" s="9">
        <v>0.95</v>
      </c>
      <c r="AX111" s="9">
        <v>3.98</v>
      </c>
      <c r="AY111" s="8">
        <v>139.5</v>
      </c>
      <c r="AZ111" s="8">
        <v>26.4</v>
      </c>
      <c r="BA111" s="9">
        <v>1.21</v>
      </c>
      <c r="BB111" s="9">
        <v>1.95</v>
      </c>
      <c r="BC111" s="8">
        <v>170.1</v>
      </c>
      <c r="BD111" s="10">
        <v>670</v>
      </c>
      <c r="BE111" s="10">
        <v>1</v>
      </c>
    </row>
    <row r="112" ht="15.6" spans="1:57">
      <c r="A112" s="14">
        <v>111</v>
      </c>
      <c r="B112" s="14" t="s">
        <v>165</v>
      </c>
      <c r="C112" s="15">
        <v>1</v>
      </c>
      <c r="D112" s="14">
        <v>1</v>
      </c>
      <c r="E112" s="14">
        <v>42</v>
      </c>
      <c r="F112" s="14">
        <v>0</v>
      </c>
      <c r="G112" s="14">
        <v>0</v>
      </c>
      <c r="H112" s="14">
        <v>171</v>
      </c>
      <c r="I112" s="14">
        <v>67</v>
      </c>
      <c r="J112" s="19">
        <f t="shared" si="7"/>
        <v>22.9130330700044</v>
      </c>
      <c r="K112" s="14">
        <v>0.683</v>
      </c>
      <c r="L112" s="14">
        <v>0.231</v>
      </c>
      <c r="M112" s="14">
        <v>0.063</v>
      </c>
      <c r="N112" s="14">
        <v>208</v>
      </c>
      <c r="O112" s="20">
        <f t="shared" si="5"/>
        <v>0.186272727272727</v>
      </c>
      <c r="P112" s="20">
        <f t="shared" si="8"/>
        <v>2.95670995670996</v>
      </c>
      <c r="Q112" s="20">
        <f t="shared" si="9"/>
        <v>0.0100815985074627</v>
      </c>
      <c r="R112" s="20">
        <f t="shared" si="6"/>
        <v>2.55223880597015</v>
      </c>
      <c r="S112" s="23">
        <v>3</v>
      </c>
      <c r="T112" s="14">
        <v>2</v>
      </c>
      <c r="U112" s="14">
        <v>2</v>
      </c>
      <c r="V112" s="14">
        <v>0</v>
      </c>
      <c r="W112" s="14">
        <v>0</v>
      </c>
      <c r="X112" s="14">
        <v>2</v>
      </c>
      <c r="Y112" s="14">
        <v>2</v>
      </c>
      <c r="Z112" s="1">
        <v>0</v>
      </c>
      <c r="AA112" s="20">
        <v>1.011</v>
      </c>
      <c r="AB112" s="1">
        <v>2.8</v>
      </c>
      <c r="AC112" s="1">
        <v>141</v>
      </c>
      <c r="AD112" s="1">
        <v>6.48</v>
      </c>
      <c r="AE112" s="7">
        <v>0.425</v>
      </c>
      <c r="AF112" s="8">
        <v>93.2</v>
      </c>
      <c r="AG112" s="1">
        <v>332</v>
      </c>
      <c r="AH112" s="8">
        <v>10.6</v>
      </c>
      <c r="AI112" s="8">
        <v>36.1</v>
      </c>
      <c r="AJ112" s="9">
        <v>2.53</v>
      </c>
      <c r="AK112" s="8">
        <v>45.2</v>
      </c>
      <c r="AL112" s="8">
        <v>9.8</v>
      </c>
      <c r="AM112" s="8">
        <v>3.4</v>
      </c>
      <c r="AN112" s="9">
        <v>17.4</v>
      </c>
      <c r="AO112" s="8">
        <v>14</v>
      </c>
      <c r="AP112" s="9">
        <v>5.13</v>
      </c>
      <c r="AQ112" s="1">
        <v>2.31</v>
      </c>
      <c r="AR112" s="8">
        <v>72.4</v>
      </c>
      <c r="AS112" s="8">
        <v>396.5</v>
      </c>
      <c r="AT112" s="9">
        <v>3.71</v>
      </c>
      <c r="AU112" s="9">
        <v>1.23</v>
      </c>
      <c r="AV112" s="9">
        <v>2.33</v>
      </c>
      <c r="AW112" s="9">
        <v>1.54</v>
      </c>
      <c r="AX112" s="9">
        <v>3.71</v>
      </c>
      <c r="AY112" s="8">
        <v>142.7</v>
      </c>
      <c r="AZ112" s="8">
        <v>27.7</v>
      </c>
      <c r="BA112" s="9">
        <v>1.08</v>
      </c>
      <c r="BB112" s="9">
        <v>2.36</v>
      </c>
      <c r="BC112" s="8">
        <v>167.6</v>
      </c>
      <c r="BD112" s="10">
        <v>2041</v>
      </c>
      <c r="BE112" s="10">
        <v>0</v>
      </c>
    </row>
    <row r="113" ht="15.6" spans="1:57">
      <c r="A113" s="14">
        <v>112</v>
      </c>
      <c r="B113" s="14" t="s">
        <v>166</v>
      </c>
      <c r="C113" s="15">
        <v>1</v>
      </c>
      <c r="D113" s="14">
        <v>1</v>
      </c>
      <c r="E113" s="14">
        <v>69</v>
      </c>
      <c r="F113" s="14">
        <v>0</v>
      </c>
      <c r="G113" s="14">
        <v>1</v>
      </c>
      <c r="H113" s="14">
        <v>170</v>
      </c>
      <c r="I113" s="14">
        <v>55</v>
      </c>
      <c r="J113" s="19">
        <f t="shared" si="7"/>
        <v>19.0311418685121</v>
      </c>
      <c r="K113" s="14">
        <v>0.692</v>
      </c>
      <c r="L113" s="14">
        <v>0.224</v>
      </c>
      <c r="M113" s="14">
        <v>0.063</v>
      </c>
      <c r="N113" s="14">
        <v>280</v>
      </c>
      <c r="O113" s="20">
        <f t="shared" si="5"/>
        <v>0.194625</v>
      </c>
      <c r="P113" s="20">
        <f t="shared" si="8"/>
        <v>3.08928571428571</v>
      </c>
      <c r="Q113" s="20">
        <f t="shared" si="9"/>
        <v>0.0117701818181818</v>
      </c>
      <c r="R113" s="20">
        <f t="shared" si="6"/>
        <v>3.09090909090909</v>
      </c>
      <c r="S113" s="23">
        <v>1</v>
      </c>
      <c r="T113" s="14">
        <v>1</v>
      </c>
      <c r="U113" s="14">
        <v>2</v>
      </c>
      <c r="V113" s="14">
        <v>1</v>
      </c>
      <c r="W113" s="14">
        <v>1</v>
      </c>
      <c r="X113" s="14">
        <v>3</v>
      </c>
      <c r="Y113" s="14">
        <v>4</v>
      </c>
      <c r="Z113" s="14">
        <v>0</v>
      </c>
      <c r="AA113" s="20">
        <v>1.009</v>
      </c>
      <c r="AB113" s="1">
        <v>3.7</v>
      </c>
      <c r="AC113" s="1">
        <v>132</v>
      </c>
      <c r="AD113" s="1">
        <v>5.89</v>
      </c>
      <c r="AE113" s="7">
        <v>0.4</v>
      </c>
      <c r="AF113" s="8">
        <v>92.8</v>
      </c>
      <c r="AG113" s="1">
        <v>331</v>
      </c>
      <c r="AH113" s="8">
        <v>10.6</v>
      </c>
      <c r="AI113" s="8">
        <v>37.9</v>
      </c>
      <c r="AJ113" s="9">
        <v>4.03</v>
      </c>
      <c r="AK113" s="8">
        <v>38.7</v>
      </c>
      <c r="AL113" s="8">
        <v>7.9</v>
      </c>
      <c r="AM113" s="8">
        <v>2.3</v>
      </c>
      <c r="AN113" s="9">
        <v>12.4</v>
      </c>
      <c r="AO113" s="8">
        <v>36</v>
      </c>
      <c r="AP113" s="9">
        <v>2.82</v>
      </c>
      <c r="AQ113" s="1">
        <v>7.92</v>
      </c>
      <c r="AR113" s="8">
        <v>58.1</v>
      </c>
      <c r="AS113" s="8">
        <v>175.6</v>
      </c>
      <c r="AT113" s="9">
        <v>4.36</v>
      </c>
      <c r="AU113" s="9">
        <v>0.64</v>
      </c>
      <c r="AV113" s="9">
        <v>2.28</v>
      </c>
      <c r="AW113" s="9">
        <v>1.21</v>
      </c>
      <c r="AX113" s="9">
        <v>3.71</v>
      </c>
      <c r="AY113" s="8">
        <v>143.6</v>
      </c>
      <c r="AZ113" s="8">
        <v>27.6</v>
      </c>
      <c r="BA113" s="9">
        <v>1.4</v>
      </c>
      <c r="BB113" s="9">
        <v>2.85</v>
      </c>
      <c r="BC113" s="8">
        <v>260.4</v>
      </c>
      <c r="BD113" s="10">
        <v>1634</v>
      </c>
      <c r="BE113" s="10">
        <v>1</v>
      </c>
    </row>
    <row r="114" ht="15.6" spans="1:57">
      <c r="A114" s="14">
        <v>113</v>
      </c>
      <c r="B114" s="14" t="s">
        <v>167</v>
      </c>
      <c r="C114" s="15">
        <v>1</v>
      </c>
      <c r="D114" s="14">
        <v>1</v>
      </c>
      <c r="E114" s="14">
        <v>75</v>
      </c>
      <c r="F114" s="14">
        <v>1</v>
      </c>
      <c r="G114" s="14">
        <v>0</v>
      </c>
      <c r="H114" s="14">
        <v>172</v>
      </c>
      <c r="I114" s="14">
        <v>55</v>
      </c>
      <c r="J114" s="19">
        <f t="shared" si="7"/>
        <v>18.5911303407247</v>
      </c>
      <c r="K114" s="14">
        <v>0.637</v>
      </c>
      <c r="L114" s="14">
        <v>0.231</v>
      </c>
      <c r="M114" s="14">
        <v>0.098</v>
      </c>
      <c r="N114" s="14">
        <v>164</v>
      </c>
      <c r="O114" s="20">
        <f t="shared" si="5"/>
        <v>0.270242424242424</v>
      </c>
      <c r="P114" s="20">
        <f t="shared" si="8"/>
        <v>2.75757575757576</v>
      </c>
      <c r="Q114" s="20">
        <f t="shared" si="9"/>
        <v>0.01242528</v>
      </c>
      <c r="R114" s="20">
        <f t="shared" si="6"/>
        <v>3.12727272727273</v>
      </c>
      <c r="S114" s="23">
        <v>1</v>
      </c>
      <c r="T114" s="14">
        <v>1</v>
      </c>
      <c r="U114" s="14">
        <v>1</v>
      </c>
      <c r="V114" s="14">
        <v>0</v>
      </c>
      <c r="W114" s="14">
        <v>0</v>
      </c>
      <c r="X114" s="14">
        <v>2</v>
      </c>
      <c r="Y114" s="14">
        <v>1</v>
      </c>
      <c r="Z114" s="14">
        <v>0</v>
      </c>
      <c r="AA114" s="20">
        <v>1.004</v>
      </c>
      <c r="AB114" s="1">
        <v>3.7</v>
      </c>
      <c r="AC114" s="1">
        <v>108</v>
      </c>
      <c r="AD114" s="1">
        <v>3.89</v>
      </c>
      <c r="AE114" s="7">
        <v>0.313</v>
      </c>
      <c r="AF114" s="8">
        <v>89.7</v>
      </c>
      <c r="AG114" s="1">
        <v>345</v>
      </c>
      <c r="AH114" s="8">
        <v>10.5</v>
      </c>
      <c r="AI114" s="8">
        <v>37</v>
      </c>
      <c r="AJ114" s="9">
        <v>4.88</v>
      </c>
      <c r="AK114" s="8">
        <v>41.1</v>
      </c>
      <c r="AL114" s="8">
        <v>10.2</v>
      </c>
      <c r="AM114" s="8">
        <v>3.1</v>
      </c>
      <c r="AN114" s="9">
        <v>23.9</v>
      </c>
      <c r="AO114" s="8">
        <v>22</v>
      </c>
      <c r="AP114" s="9">
        <v>5.25</v>
      </c>
      <c r="AQ114" s="1">
        <v>12.66</v>
      </c>
      <c r="AR114" s="8">
        <v>179.3</v>
      </c>
      <c r="AS114" s="8">
        <v>381.5</v>
      </c>
      <c r="AT114" s="9">
        <v>3.81</v>
      </c>
      <c r="AU114" s="9">
        <v>0.65</v>
      </c>
      <c r="AV114" s="9">
        <v>2.3</v>
      </c>
      <c r="AW114" s="9">
        <v>1.16</v>
      </c>
      <c r="AX114" s="9">
        <v>4.03</v>
      </c>
      <c r="AY114" s="8">
        <v>135.2</v>
      </c>
      <c r="AZ114" s="8">
        <v>27.5</v>
      </c>
      <c r="BA114" s="9">
        <v>1.28</v>
      </c>
      <c r="BB114" s="9">
        <v>2.37</v>
      </c>
      <c r="BC114" s="8">
        <v>197.3</v>
      </c>
      <c r="BD114" s="10">
        <v>1003</v>
      </c>
      <c r="BE114" s="10">
        <v>1</v>
      </c>
    </row>
    <row r="115" ht="15.6" spans="1:57">
      <c r="A115" s="14">
        <v>114</v>
      </c>
      <c r="B115" s="14" t="s">
        <v>168</v>
      </c>
      <c r="C115" s="15">
        <v>1</v>
      </c>
      <c r="D115" s="14">
        <v>1</v>
      </c>
      <c r="E115" s="14">
        <v>46</v>
      </c>
      <c r="F115" s="14">
        <v>1</v>
      </c>
      <c r="G115" s="14">
        <v>1</v>
      </c>
      <c r="H115" s="14">
        <v>172</v>
      </c>
      <c r="I115" s="14">
        <v>71</v>
      </c>
      <c r="J115" s="19">
        <f t="shared" si="7"/>
        <v>23.9994591671174</v>
      </c>
      <c r="K115" s="14">
        <v>0.582</v>
      </c>
      <c r="L115" s="14">
        <v>0.259</v>
      </c>
      <c r="M115" s="14">
        <v>0.115</v>
      </c>
      <c r="N115" s="14">
        <v>245</v>
      </c>
      <c r="O115" s="20">
        <f t="shared" si="5"/>
        <v>0.258416988416988</v>
      </c>
      <c r="P115" s="20">
        <f t="shared" si="8"/>
        <v>2.24710424710425</v>
      </c>
      <c r="Q115" s="20">
        <f t="shared" si="9"/>
        <v>0.0107919098591549</v>
      </c>
      <c r="R115" s="20">
        <f t="shared" si="6"/>
        <v>2.42253521126761</v>
      </c>
      <c r="S115" s="23">
        <v>4</v>
      </c>
      <c r="T115" s="14">
        <v>1</v>
      </c>
      <c r="U115" s="14">
        <v>1</v>
      </c>
      <c r="V115" s="14">
        <v>2</v>
      </c>
      <c r="W115" s="14">
        <v>1</v>
      </c>
      <c r="X115" s="14">
        <v>3</v>
      </c>
      <c r="Y115" s="14">
        <v>4</v>
      </c>
      <c r="Z115" s="1">
        <v>0</v>
      </c>
      <c r="AA115" s="20">
        <v>1.016</v>
      </c>
      <c r="AB115" s="1">
        <v>30.1</v>
      </c>
      <c r="AC115" s="1">
        <v>136</v>
      </c>
      <c r="AD115" s="1">
        <v>8.82</v>
      </c>
      <c r="AE115" s="7">
        <v>0.393</v>
      </c>
      <c r="AF115" s="8">
        <v>95.6</v>
      </c>
      <c r="AG115" s="1">
        <v>346</v>
      </c>
      <c r="AH115" s="8">
        <v>9.9</v>
      </c>
      <c r="AI115" s="8">
        <v>32.8</v>
      </c>
      <c r="AJ115" s="9">
        <v>4</v>
      </c>
      <c r="AK115" s="8">
        <v>30.4</v>
      </c>
      <c r="AL115" s="8">
        <v>8.2</v>
      </c>
      <c r="AM115" s="8">
        <v>3.6</v>
      </c>
      <c r="AN115" s="9">
        <v>16.1</v>
      </c>
      <c r="AO115" s="8">
        <v>269.8</v>
      </c>
      <c r="AP115" s="9">
        <v>4.39</v>
      </c>
      <c r="AQ115" s="1">
        <v>4.88</v>
      </c>
      <c r="AR115" s="8">
        <v>89.5</v>
      </c>
      <c r="AS115" s="8">
        <v>436</v>
      </c>
      <c r="AT115" s="9">
        <v>4.24</v>
      </c>
      <c r="AU115" s="9">
        <v>0.79</v>
      </c>
      <c r="AV115" s="9">
        <v>2.17</v>
      </c>
      <c r="AW115" s="9">
        <v>1.23</v>
      </c>
      <c r="AX115" s="9">
        <v>4.64</v>
      </c>
      <c r="AY115" s="8">
        <v>139.4</v>
      </c>
      <c r="AZ115" s="8">
        <v>30</v>
      </c>
      <c r="BA115" s="9">
        <v>1.47</v>
      </c>
      <c r="BB115" s="9">
        <v>2.62</v>
      </c>
      <c r="BC115" s="8">
        <v>121.2</v>
      </c>
      <c r="BD115" s="10">
        <v>927</v>
      </c>
      <c r="BE115" s="10">
        <v>1</v>
      </c>
    </row>
    <row r="116" ht="15.6" spans="1:57">
      <c r="A116" s="14">
        <v>115</v>
      </c>
      <c r="B116" s="14" t="s">
        <v>169</v>
      </c>
      <c r="C116" s="15">
        <v>1</v>
      </c>
      <c r="D116" s="14">
        <v>1</v>
      </c>
      <c r="E116" s="14">
        <v>71</v>
      </c>
      <c r="F116" s="14">
        <v>0</v>
      </c>
      <c r="G116" s="14">
        <v>0</v>
      </c>
      <c r="H116" s="14">
        <v>165</v>
      </c>
      <c r="I116" s="14">
        <v>60</v>
      </c>
      <c r="J116" s="19">
        <f t="shared" si="7"/>
        <v>22.038567493113</v>
      </c>
      <c r="K116" s="14">
        <v>0.688</v>
      </c>
      <c r="L116" s="14">
        <v>0.243</v>
      </c>
      <c r="M116" s="20">
        <v>0.06</v>
      </c>
      <c r="N116" s="14">
        <v>242</v>
      </c>
      <c r="O116" s="20">
        <f t="shared" si="5"/>
        <v>0.169876543209877</v>
      </c>
      <c r="P116" s="20">
        <f t="shared" si="8"/>
        <v>2.83127572016461</v>
      </c>
      <c r="Q116" s="20">
        <f t="shared" si="9"/>
        <v>0.011026125</v>
      </c>
      <c r="R116" s="20">
        <f t="shared" si="6"/>
        <v>2.75</v>
      </c>
      <c r="S116" s="23">
        <v>1</v>
      </c>
      <c r="T116" s="14">
        <v>2</v>
      </c>
      <c r="U116" s="14">
        <v>3</v>
      </c>
      <c r="V116" s="14">
        <v>2</v>
      </c>
      <c r="W116" s="14">
        <v>1</v>
      </c>
      <c r="X116" s="14">
        <v>2</v>
      </c>
      <c r="Y116" s="14">
        <v>4</v>
      </c>
      <c r="Z116" s="14">
        <v>1</v>
      </c>
      <c r="AA116" s="20">
        <v>1.007</v>
      </c>
      <c r="AB116" s="1">
        <v>4.9</v>
      </c>
      <c r="AC116" s="1">
        <v>111</v>
      </c>
      <c r="AD116" s="1">
        <v>7.81</v>
      </c>
      <c r="AE116" s="7">
        <v>0.32</v>
      </c>
      <c r="AF116" s="8">
        <v>87</v>
      </c>
      <c r="AG116" s="1">
        <v>347</v>
      </c>
      <c r="AH116" s="8">
        <v>8.7</v>
      </c>
      <c r="AI116" s="8">
        <v>39.2</v>
      </c>
      <c r="AJ116" s="9">
        <v>6.19</v>
      </c>
      <c r="AK116" s="8">
        <v>38.4</v>
      </c>
      <c r="AL116" s="8">
        <v>7.1</v>
      </c>
      <c r="AM116" s="8">
        <v>1.8</v>
      </c>
      <c r="AN116" s="9">
        <v>19.9</v>
      </c>
      <c r="AO116" s="8">
        <v>23.8</v>
      </c>
      <c r="AP116" s="9">
        <v>4.9</v>
      </c>
      <c r="AQ116" s="1">
        <v>4.57</v>
      </c>
      <c r="AR116" s="8">
        <v>62.8</v>
      </c>
      <c r="AS116" s="8">
        <v>297</v>
      </c>
      <c r="AT116" s="9">
        <v>3.69</v>
      </c>
      <c r="AU116" s="9">
        <v>0.44</v>
      </c>
      <c r="AV116" s="9">
        <v>2.21</v>
      </c>
      <c r="AW116" s="9">
        <v>1.27</v>
      </c>
      <c r="AX116" s="9">
        <v>4.52</v>
      </c>
      <c r="AY116" s="8">
        <v>132</v>
      </c>
      <c r="AZ116" s="8">
        <v>25.3</v>
      </c>
      <c r="BA116" s="9">
        <v>1.24</v>
      </c>
      <c r="BB116" s="9">
        <v>2.29</v>
      </c>
      <c r="BC116" s="8">
        <v>182.2</v>
      </c>
      <c r="BD116" s="10">
        <v>976</v>
      </c>
      <c r="BE116" s="10">
        <v>1</v>
      </c>
    </row>
    <row r="117" ht="15.6" spans="1:57">
      <c r="A117" s="14">
        <v>116</v>
      </c>
      <c r="B117" s="14" t="s">
        <v>170</v>
      </c>
      <c r="C117" s="15">
        <v>0</v>
      </c>
      <c r="D117" s="14">
        <v>2</v>
      </c>
      <c r="E117" s="14">
        <v>76</v>
      </c>
      <c r="F117" s="14">
        <v>1</v>
      </c>
      <c r="G117" s="14">
        <v>1</v>
      </c>
      <c r="H117" s="14">
        <v>162</v>
      </c>
      <c r="I117" s="14">
        <v>50</v>
      </c>
      <c r="J117" s="19">
        <f t="shared" si="7"/>
        <v>19.0519737844841</v>
      </c>
      <c r="K117" s="14">
        <v>0.599</v>
      </c>
      <c r="L117" s="14">
        <v>0.351</v>
      </c>
      <c r="M117" s="20">
        <v>0.04</v>
      </c>
      <c r="N117" s="14">
        <v>186</v>
      </c>
      <c r="O117" s="20">
        <f t="shared" si="5"/>
        <v>0.0682621082621083</v>
      </c>
      <c r="P117" s="20">
        <f t="shared" si="8"/>
        <v>1.70655270655271</v>
      </c>
      <c r="Q117" s="20">
        <f t="shared" si="9"/>
        <v>0.018423288</v>
      </c>
      <c r="R117" s="20">
        <f t="shared" si="6"/>
        <v>3.24</v>
      </c>
      <c r="S117" s="23">
        <v>1</v>
      </c>
      <c r="T117" s="14">
        <v>1</v>
      </c>
      <c r="U117" s="14">
        <v>2</v>
      </c>
      <c r="V117" s="14">
        <v>0</v>
      </c>
      <c r="W117" s="14">
        <v>0</v>
      </c>
      <c r="X117" s="14">
        <v>3</v>
      </c>
      <c r="Y117" s="14">
        <v>2</v>
      </c>
      <c r="Z117" s="1">
        <v>0</v>
      </c>
      <c r="AA117" s="20">
        <v>1.008</v>
      </c>
      <c r="AB117" s="1">
        <v>79.5</v>
      </c>
      <c r="AC117" s="1">
        <v>93</v>
      </c>
      <c r="AD117" s="1">
        <v>5.69</v>
      </c>
      <c r="AE117" s="7">
        <v>0.288</v>
      </c>
      <c r="AF117" s="8">
        <v>81.8</v>
      </c>
      <c r="AG117" s="1">
        <v>323</v>
      </c>
      <c r="AH117" s="8">
        <v>10.7</v>
      </c>
      <c r="AI117" s="8">
        <v>35.1</v>
      </c>
      <c r="AJ117" s="9">
        <v>3.53</v>
      </c>
      <c r="AK117" s="8">
        <v>33</v>
      </c>
      <c r="AL117" s="8">
        <v>4.8</v>
      </c>
      <c r="AM117" s="8">
        <v>1.7</v>
      </c>
      <c r="AN117" s="9">
        <v>19.9</v>
      </c>
      <c r="AO117" s="8">
        <v>8.9</v>
      </c>
      <c r="AP117" s="9">
        <v>3.64</v>
      </c>
      <c r="AQ117" s="9">
        <v>6.8</v>
      </c>
      <c r="AR117" s="8">
        <v>64.2</v>
      </c>
      <c r="AS117" s="8">
        <v>178.3</v>
      </c>
      <c r="AT117" s="9">
        <v>3.13</v>
      </c>
      <c r="AU117" s="9">
        <v>0.59</v>
      </c>
      <c r="AV117" s="9">
        <v>2.03</v>
      </c>
      <c r="AW117" s="9">
        <v>0.92</v>
      </c>
      <c r="AX117" s="9">
        <v>3.84</v>
      </c>
      <c r="AY117" s="8">
        <v>140.1</v>
      </c>
      <c r="AZ117" s="8">
        <v>27.4</v>
      </c>
      <c r="BA117" s="9">
        <v>1.8</v>
      </c>
      <c r="BB117" s="9">
        <v>1.29</v>
      </c>
      <c r="BC117" s="8">
        <v>185.9</v>
      </c>
      <c r="BD117" s="10">
        <v>1649</v>
      </c>
      <c r="BE117" s="10">
        <v>1</v>
      </c>
    </row>
    <row r="118" ht="15.6" spans="1:57">
      <c r="A118" s="14">
        <v>117</v>
      </c>
      <c r="B118" s="14" t="s">
        <v>171</v>
      </c>
      <c r="C118" s="15">
        <v>1</v>
      </c>
      <c r="D118" s="14">
        <v>1</v>
      </c>
      <c r="E118" s="14">
        <v>40</v>
      </c>
      <c r="F118" s="14">
        <v>0</v>
      </c>
      <c r="G118" s="14">
        <v>0</v>
      </c>
      <c r="H118" s="14">
        <v>176</v>
      </c>
      <c r="I118" s="14">
        <v>68</v>
      </c>
      <c r="J118" s="19">
        <f t="shared" si="7"/>
        <v>21.952479338843</v>
      </c>
      <c r="K118" s="14">
        <v>0.486</v>
      </c>
      <c r="L118" s="14">
        <v>0.397</v>
      </c>
      <c r="M118" s="14">
        <v>0.094</v>
      </c>
      <c r="N118" s="14">
        <v>378</v>
      </c>
      <c r="O118" s="20">
        <f t="shared" si="5"/>
        <v>0.115073047858942</v>
      </c>
      <c r="P118" s="20">
        <f t="shared" si="8"/>
        <v>1.22418136020151</v>
      </c>
      <c r="Q118" s="20">
        <f t="shared" si="9"/>
        <v>0.0180845176470588</v>
      </c>
      <c r="R118" s="20">
        <f t="shared" si="6"/>
        <v>2.58823529411765</v>
      </c>
      <c r="S118" s="23">
        <v>1</v>
      </c>
      <c r="T118" s="14">
        <v>2</v>
      </c>
      <c r="U118" s="14">
        <v>3</v>
      </c>
      <c r="V118" s="14">
        <v>2</v>
      </c>
      <c r="W118" s="14">
        <v>1</v>
      </c>
      <c r="X118" s="14">
        <v>2</v>
      </c>
      <c r="Y118" s="14">
        <v>4</v>
      </c>
      <c r="Z118" s="14">
        <v>1</v>
      </c>
      <c r="AA118" s="20">
        <v>1.02</v>
      </c>
      <c r="AB118" s="1">
        <v>4.2</v>
      </c>
      <c r="AC118" s="1">
        <v>138</v>
      </c>
      <c r="AD118" s="1">
        <v>7.56</v>
      </c>
      <c r="AE118" s="7">
        <v>0.404</v>
      </c>
      <c r="AF118" s="8">
        <v>88</v>
      </c>
      <c r="AG118" s="1">
        <v>342</v>
      </c>
      <c r="AH118" s="8">
        <v>9.3</v>
      </c>
      <c r="AI118" s="8">
        <v>41.5</v>
      </c>
      <c r="AJ118" s="9">
        <v>2.91</v>
      </c>
      <c r="AK118" s="8">
        <v>37.4</v>
      </c>
      <c r="AL118" s="8">
        <v>8.5</v>
      </c>
      <c r="AM118" s="8">
        <v>2.6</v>
      </c>
      <c r="AN118" s="9">
        <v>8.5</v>
      </c>
      <c r="AO118" s="8">
        <v>25.9</v>
      </c>
      <c r="AP118" s="9">
        <v>5</v>
      </c>
      <c r="AQ118" s="1">
        <v>3.97</v>
      </c>
      <c r="AR118" s="8">
        <v>73.3</v>
      </c>
      <c r="AS118" s="8">
        <v>278.7</v>
      </c>
      <c r="AT118" s="9">
        <v>3.7</v>
      </c>
      <c r="AU118" s="9">
        <v>0.65</v>
      </c>
      <c r="AV118" s="9">
        <v>2.11</v>
      </c>
      <c r="AW118" s="9">
        <v>1.311</v>
      </c>
      <c r="AX118" s="9">
        <v>3.66</v>
      </c>
      <c r="AY118" s="8">
        <v>139.7</v>
      </c>
      <c r="AZ118" s="8">
        <v>28</v>
      </c>
      <c r="BA118" s="9">
        <v>0.83</v>
      </c>
      <c r="BB118" s="9">
        <v>2.62</v>
      </c>
      <c r="BC118" s="8">
        <v>145</v>
      </c>
      <c r="BD118" s="10">
        <v>1726</v>
      </c>
      <c r="BE118" s="10">
        <v>1</v>
      </c>
    </row>
    <row r="119" ht="15.6" spans="1:57">
      <c r="A119" s="14">
        <v>118</v>
      </c>
      <c r="B119" s="14" t="s">
        <v>172</v>
      </c>
      <c r="C119" s="15">
        <v>0</v>
      </c>
      <c r="D119" s="14">
        <v>1</v>
      </c>
      <c r="E119" s="14">
        <v>51</v>
      </c>
      <c r="F119" s="14">
        <v>1</v>
      </c>
      <c r="G119" s="14">
        <v>0</v>
      </c>
      <c r="H119" s="14">
        <v>178</v>
      </c>
      <c r="I119" s="14">
        <v>73</v>
      </c>
      <c r="J119" s="19">
        <f t="shared" si="7"/>
        <v>23.0400201994698</v>
      </c>
      <c r="K119" s="14">
        <v>0.676</v>
      </c>
      <c r="L119" s="20">
        <v>0.21</v>
      </c>
      <c r="M119" s="14">
        <v>0.069</v>
      </c>
      <c r="N119" s="14">
        <v>326</v>
      </c>
      <c r="O119" s="20">
        <f t="shared" si="5"/>
        <v>0.222114285714286</v>
      </c>
      <c r="P119" s="20">
        <f t="shared" si="8"/>
        <v>3.21904761904762</v>
      </c>
      <c r="Q119" s="20">
        <f t="shared" si="9"/>
        <v>0.00911457534246575</v>
      </c>
      <c r="R119" s="20">
        <f t="shared" si="6"/>
        <v>2.43835616438356</v>
      </c>
      <c r="S119" s="23">
        <v>1</v>
      </c>
      <c r="T119" s="14">
        <v>1</v>
      </c>
      <c r="U119" s="14">
        <v>2</v>
      </c>
      <c r="V119" s="14">
        <v>0</v>
      </c>
      <c r="W119" s="14">
        <v>0</v>
      </c>
      <c r="X119" s="14">
        <v>2</v>
      </c>
      <c r="Y119" s="14">
        <v>2</v>
      </c>
      <c r="Z119" s="14">
        <v>0</v>
      </c>
      <c r="AA119" s="20">
        <v>1.008</v>
      </c>
      <c r="AB119" s="1">
        <v>0.6</v>
      </c>
      <c r="AC119" s="1">
        <v>133</v>
      </c>
      <c r="AD119" s="1">
        <v>6.09</v>
      </c>
      <c r="AE119" s="7">
        <v>0.404</v>
      </c>
      <c r="AF119" s="8">
        <v>92.5</v>
      </c>
      <c r="AG119" s="1">
        <v>330</v>
      </c>
      <c r="AH119" s="8">
        <v>9.4</v>
      </c>
      <c r="AI119" s="8">
        <v>36.4</v>
      </c>
      <c r="AJ119" s="9">
        <v>4.66</v>
      </c>
      <c r="AK119" s="8">
        <v>42.8</v>
      </c>
      <c r="AL119" s="8">
        <v>4.6</v>
      </c>
      <c r="AM119" s="8">
        <v>1.6</v>
      </c>
      <c r="AN119" s="9">
        <v>16.1</v>
      </c>
      <c r="AO119" s="8">
        <v>105</v>
      </c>
      <c r="AP119" s="9">
        <v>4.73</v>
      </c>
      <c r="AQ119" s="1">
        <v>4.28</v>
      </c>
      <c r="AR119" s="8">
        <v>72.1</v>
      </c>
      <c r="AS119" s="8">
        <v>265.9</v>
      </c>
      <c r="AT119" s="9">
        <v>5.65</v>
      </c>
      <c r="AU119" s="9">
        <v>2.35</v>
      </c>
      <c r="AV119" s="9">
        <v>2.21</v>
      </c>
      <c r="AW119" s="9">
        <v>1.05</v>
      </c>
      <c r="AX119" s="9">
        <v>4.03</v>
      </c>
      <c r="AY119" s="8">
        <v>138.4</v>
      </c>
      <c r="AZ119" s="8">
        <v>26</v>
      </c>
      <c r="BA119" s="9">
        <v>0.8</v>
      </c>
      <c r="BB119" s="9">
        <v>3.9</v>
      </c>
      <c r="BC119" s="8">
        <v>155.5</v>
      </c>
      <c r="BD119" s="10">
        <v>1315</v>
      </c>
      <c r="BE119" s="10">
        <v>1</v>
      </c>
    </row>
    <row r="120" ht="15.6" spans="1:57">
      <c r="A120" s="14">
        <v>119</v>
      </c>
      <c r="B120" s="14" t="s">
        <v>173</v>
      </c>
      <c r="C120" s="15">
        <v>1</v>
      </c>
      <c r="D120" s="14">
        <v>2</v>
      </c>
      <c r="E120" s="14">
        <v>62</v>
      </c>
      <c r="F120" s="14">
        <v>0</v>
      </c>
      <c r="G120" s="14">
        <v>0</v>
      </c>
      <c r="H120" s="14">
        <v>158</v>
      </c>
      <c r="I120" s="14">
        <v>58</v>
      </c>
      <c r="J120" s="19">
        <f t="shared" si="7"/>
        <v>23.2334561768947</v>
      </c>
      <c r="K120" s="14">
        <v>0.696</v>
      </c>
      <c r="L120" s="14">
        <v>0.228</v>
      </c>
      <c r="M120" s="14">
        <v>0.062</v>
      </c>
      <c r="N120" s="14">
        <v>238</v>
      </c>
      <c r="O120" s="20">
        <f t="shared" si="5"/>
        <v>0.189263157894737</v>
      </c>
      <c r="P120" s="20">
        <f t="shared" si="8"/>
        <v>3.05263157894737</v>
      </c>
      <c r="Q120" s="20">
        <f t="shared" si="9"/>
        <v>0.00981343448275862</v>
      </c>
      <c r="R120" s="20">
        <f t="shared" si="6"/>
        <v>2.72413793103448</v>
      </c>
      <c r="S120" s="23">
        <v>3</v>
      </c>
      <c r="T120" s="14">
        <v>1</v>
      </c>
      <c r="U120" s="14">
        <v>2</v>
      </c>
      <c r="V120" s="14">
        <v>1</v>
      </c>
      <c r="W120" s="14">
        <v>1</v>
      </c>
      <c r="X120" s="14">
        <v>2</v>
      </c>
      <c r="Y120" s="14">
        <v>4</v>
      </c>
      <c r="Z120" s="1">
        <v>0</v>
      </c>
      <c r="AA120" s="20">
        <v>1.019</v>
      </c>
      <c r="AB120" s="8">
        <v>8</v>
      </c>
      <c r="AC120" s="1">
        <v>107</v>
      </c>
      <c r="AD120" s="1">
        <v>12.47</v>
      </c>
      <c r="AE120" s="7">
        <v>0.309</v>
      </c>
      <c r="AF120" s="8">
        <v>85.6</v>
      </c>
      <c r="AG120" s="1">
        <v>346</v>
      </c>
      <c r="AH120" s="8">
        <v>9.1</v>
      </c>
      <c r="AI120" s="8">
        <v>37.7</v>
      </c>
      <c r="AJ120" s="9">
        <v>2.62</v>
      </c>
      <c r="AK120" s="8">
        <v>42.5</v>
      </c>
      <c r="AL120" s="8">
        <v>15.4</v>
      </c>
      <c r="AM120" s="8">
        <v>4.6</v>
      </c>
      <c r="AN120" s="9">
        <v>23.5</v>
      </c>
      <c r="AO120" s="8">
        <v>13</v>
      </c>
      <c r="AP120" s="9">
        <v>5.18</v>
      </c>
      <c r="AQ120" s="1">
        <v>4.78</v>
      </c>
      <c r="AR120" s="8">
        <v>52.6</v>
      </c>
      <c r="AS120" s="8">
        <v>219.3</v>
      </c>
      <c r="AT120" s="9">
        <v>4.02</v>
      </c>
      <c r="AU120" s="9">
        <v>0.94</v>
      </c>
      <c r="AV120" s="9">
        <v>2.19</v>
      </c>
      <c r="AW120" s="9">
        <v>1.16</v>
      </c>
      <c r="AX120" s="9">
        <v>3.71</v>
      </c>
      <c r="AY120" s="8">
        <v>143.5</v>
      </c>
      <c r="AZ120" s="8">
        <v>24.3</v>
      </c>
      <c r="BA120" s="9">
        <v>1.07</v>
      </c>
      <c r="BB120" s="9">
        <v>2.9</v>
      </c>
      <c r="BC120" s="8">
        <v>184.8</v>
      </c>
      <c r="BD120" s="10">
        <v>1908</v>
      </c>
      <c r="BE120" s="10">
        <v>0</v>
      </c>
    </row>
    <row r="121" ht="15.6" spans="1:57">
      <c r="A121" s="14">
        <v>120</v>
      </c>
      <c r="B121" s="14" t="s">
        <v>174</v>
      </c>
      <c r="C121" s="15">
        <v>1</v>
      </c>
      <c r="D121" s="14">
        <v>1</v>
      </c>
      <c r="E121" s="14">
        <v>64</v>
      </c>
      <c r="F121" s="14">
        <v>1</v>
      </c>
      <c r="G121" s="14">
        <v>1</v>
      </c>
      <c r="H121" s="14">
        <v>176</v>
      </c>
      <c r="I121" s="14">
        <v>82</v>
      </c>
      <c r="J121" s="19">
        <f t="shared" si="7"/>
        <v>26.4721074380165</v>
      </c>
      <c r="K121" s="14">
        <v>0.575</v>
      </c>
      <c r="L121" s="14">
        <v>0.289</v>
      </c>
      <c r="M121" s="14">
        <v>0.091</v>
      </c>
      <c r="N121" s="14">
        <v>161</v>
      </c>
      <c r="O121" s="20">
        <f t="shared" si="5"/>
        <v>0.181055363321799</v>
      </c>
      <c r="P121" s="20">
        <f t="shared" si="8"/>
        <v>1.98961937716263</v>
      </c>
      <c r="Q121" s="20">
        <f t="shared" si="9"/>
        <v>0.0109171512195122</v>
      </c>
      <c r="R121" s="20">
        <f t="shared" si="6"/>
        <v>2.14634146341463</v>
      </c>
      <c r="S121" s="23">
        <v>1</v>
      </c>
      <c r="T121" s="14">
        <v>1</v>
      </c>
      <c r="U121" s="14">
        <v>1</v>
      </c>
      <c r="V121" s="14">
        <v>0</v>
      </c>
      <c r="W121" s="14">
        <v>0</v>
      </c>
      <c r="X121" s="14">
        <v>2</v>
      </c>
      <c r="Y121" s="14">
        <v>1</v>
      </c>
      <c r="Z121" s="14">
        <v>0</v>
      </c>
      <c r="AA121" s="20">
        <v>1.028</v>
      </c>
      <c r="AB121" s="1">
        <v>20.7</v>
      </c>
      <c r="AC121" s="1">
        <v>137</v>
      </c>
      <c r="AD121" s="1">
        <v>5.69</v>
      </c>
      <c r="AE121" s="7">
        <v>0.365</v>
      </c>
      <c r="AF121" s="8">
        <v>88.6</v>
      </c>
      <c r="AG121" s="1">
        <v>375</v>
      </c>
      <c r="AH121" s="8">
        <v>11.1</v>
      </c>
      <c r="AI121" s="8">
        <v>35.3</v>
      </c>
      <c r="AJ121" s="9">
        <v>2.83</v>
      </c>
      <c r="AK121" s="8">
        <v>33.6</v>
      </c>
      <c r="AL121" s="8">
        <v>18.9</v>
      </c>
      <c r="AM121" s="8">
        <v>15.6</v>
      </c>
      <c r="AO121" s="8">
        <v>105.5</v>
      </c>
      <c r="AP121" s="9">
        <v>6.09</v>
      </c>
      <c r="AQ121" s="9">
        <v>3.2</v>
      </c>
      <c r="AR121" s="8">
        <v>97</v>
      </c>
      <c r="AS121" s="8">
        <v>270.3</v>
      </c>
      <c r="AV121" s="9">
        <v>2.27</v>
      </c>
      <c r="AW121" s="9">
        <v>0.75</v>
      </c>
      <c r="AX121" s="9">
        <v>3.86</v>
      </c>
      <c r="AY121" s="8">
        <v>141.3</v>
      </c>
      <c r="AZ121" s="8">
        <v>19.2</v>
      </c>
      <c r="BD121" s="10">
        <v>1899</v>
      </c>
      <c r="BE121" s="10">
        <v>0</v>
      </c>
    </row>
    <row r="122" ht="15.6" spans="1:57">
      <c r="A122" s="14">
        <v>121</v>
      </c>
      <c r="B122" s="14" t="s">
        <v>175</v>
      </c>
      <c r="C122" s="15">
        <v>1</v>
      </c>
      <c r="D122" s="14">
        <v>1</v>
      </c>
      <c r="E122" s="14">
        <v>69</v>
      </c>
      <c r="F122" s="14">
        <v>0</v>
      </c>
      <c r="G122" s="14">
        <v>0</v>
      </c>
      <c r="H122" s="14">
        <v>170</v>
      </c>
      <c r="I122" s="14">
        <v>74</v>
      </c>
      <c r="J122" s="19">
        <f t="shared" si="7"/>
        <v>25.6055363321799</v>
      </c>
      <c r="K122" s="14">
        <v>0.634</v>
      </c>
      <c r="L122" s="14">
        <v>0.249</v>
      </c>
      <c r="M122" s="14">
        <v>0.088</v>
      </c>
      <c r="N122" s="14">
        <v>209</v>
      </c>
      <c r="O122" s="20">
        <f t="shared" ref="O122:O149" si="10">K122*M122/L122</f>
        <v>0.224064257028112</v>
      </c>
      <c r="P122" s="20">
        <f t="shared" si="8"/>
        <v>2.54618473895582</v>
      </c>
      <c r="Q122" s="20">
        <f t="shared" si="9"/>
        <v>0.00972445945945946</v>
      </c>
      <c r="R122" s="20">
        <f t="shared" ref="R122:R149" si="11">H122/I122</f>
        <v>2.2972972972973</v>
      </c>
      <c r="S122" s="23">
        <v>1</v>
      </c>
      <c r="T122" s="14">
        <v>1</v>
      </c>
      <c r="U122" s="14">
        <v>2</v>
      </c>
      <c r="V122" s="14">
        <v>0</v>
      </c>
      <c r="W122" s="14">
        <v>0</v>
      </c>
      <c r="X122" s="14">
        <v>2</v>
      </c>
      <c r="Y122" s="14">
        <v>2</v>
      </c>
      <c r="Z122" s="14">
        <v>0</v>
      </c>
      <c r="AA122" s="20">
        <v>1.025</v>
      </c>
      <c r="AB122" s="1">
        <v>3162.3</v>
      </c>
      <c r="AC122" s="1">
        <v>151</v>
      </c>
      <c r="AD122" s="1">
        <v>5.54</v>
      </c>
      <c r="AE122" s="7">
        <v>0.452</v>
      </c>
      <c r="AF122" s="8">
        <v>95</v>
      </c>
      <c r="AG122" s="1">
        <v>334</v>
      </c>
      <c r="AH122" s="8">
        <v>9.5</v>
      </c>
      <c r="AI122" s="8">
        <v>37.3</v>
      </c>
      <c r="AJ122" s="9">
        <v>3.56</v>
      </c>
      <c r="AK122" s="8">
        <v>40.3</v>
      </c>
      <c r="AL122" s="8">
        <v>10.2</v>
      </c>
      <c r="AM122" s="8">
        <v>3.3</v>
      </c>
      <c r="AN122" s="9">
        <v>15.3</v>
      </c>
      <c r="AO122" s="8">
        <v>21</v>
      </c>
      <c r="AP122" s="9">
        <v>4.16</v>
      </c>
      <c r="AQ122" s="1">
        <v>7.76</v>
      </c>
      <c r="AR122" s="8">
        <v>84.5</v>
      </c>
      <c r="AS122" s="8">
        <v>299.4</v>
      </c>
      <c r="AT122" s="9">
        <v>4.3</v>
      </c>
      <c r="AU122" s="9">
        <v>0.79</v>
      </c>
      <c r="AV122" s="9">
        <v>2.18</v>
      </c>
      <c r="AW122" s="9">
        <v>1</v>
      </c>
      <c r="AX122" s="9">
        <v>4.11</v>
      </c>
      <c r="AY122" s="8">
        <v>142.1</v>
      </c>
      <c r="AZ122" s="8">
        <v>24.1</v>
      </c>
      <c r="BA122" s="9">
        <v>1.42</v>
      </c>
      <c r="BB122" s="9">
        <v>2.58</v>
      </c>
      <c r="BC122" s="8">
        <v>171.8</v>
      </c>
      <c r="BD122" s="10">
        <v>1468</v>
      </c>
      <c r="BE122" s="10">
        <v>1</v>
      </c>
    </row>
    <row r="123" ht="15.6" spans="1:57">
      <c r="A123" s="14">
        <v>122</v>
      </c>
      <c r="B123" s="14" t="s">
        <v>176</v>
      </c>
      <c r="C123" s="15">
        <v>0</v>
      </c>
      <c r="D123" s="14">
        <v>1</v>
      </c>
      <c r="E123" s="14">
        <v>61</v>
      </c>
      <c r="F123" s="14">
        <v>1</v>
      </c>
      <c r="G123" s="14">
        <v>0</v>
      </c>
      <c r="H123" s="14">
        <v>168</v>
      </c>
      <c r="I123" s="14">
        <v>67</v>
      </c>
      <c r="J123" s="19">
        <f t="shared" si="7"/>
        <v>23.7386621315193</v>
      </c>
      <c r="K123" s="14">
        <v>0.532</v>
      </c>
      <c r="L123" s="14">
        <v>0.346</v>
      </c>
      <c r="M123" s="14">
        <v>0.082</v>
      </c>
      <c r="N123" s="14">
        <v>404</v>
      </c>
      <c r="O123" s="20">
        <f t="shared" si="10"/>
        <v>0.126080924855491</v>
      </c>
      <c r="P123" s="20">
        <f t="shared" si="8"/>
        <v>1.53757225433526</v>
      </c>
      <c r="Q123" s="20">
        <f t="shared" si="9"/>
        <v>0.0145753791044776</v>
      </c>
      <c r="R123" s="20">
        <f t="shared" si="11"/>
        <v>2.50746268656716</v>
      </c>
      <c r="S123" s="23">
        <v>1</v>
      </c>
      <c r="T123" s="14">
        <v>1</v>
      </c>
      <c r="U123" s="14">
        <v>1</v>
      </c>
      <c r="V123" s="14">
        <v>0</v>
      </c>
      <c r="W123" s="14">
        <v>0</v>
      </c>
      <c r="X123" s="14">
        <v>2</v>
      </c>
      <c r="Y123" s="14">
        <v>1</v>
      </c>
      <c r="Z123" s="1">
        <v>0</v>
      </c>
      <c r="AA123" s="20">
        <v>1.016</v>
      </c>
      <c r="AB123" s="1">
        <v>11.7</v>
      </c>
      <c r="AC123" s="1">
        <v>129</v>
      </c>
      <c r="AD123" s="1">
        <v>6.36</v>
      </c>
      <c r="AE123" s="7">
        <v>0.387</v>
      </c>
      <c r="AF123" s="8">
        <v>105.7</v>
      </c>
      <c r="AG123" s="1">
        <v>333</v>
      </c>
      <c r="AH123" s="8">
        <v>10.4</v>
      </c>
      <c r="AI123" s="8">
        <v>36.8</v>
      </c>
      <c r="AJ123" s="9">
        <v>4.17</v>
      </c>
      <c r="AK123" s="8">
        <v>40.9</v>
      </c>
      <c r="AL123" s="8">
        <v>8.7</v>
      </c>
      <c r="AM123" s="8">
        <v>2.7</v>
      </c>
      <c r="AN123" s="9">
        <v>19.9</v>
      </c>
      <c r="AO123" s="8">
        <v>190.4</v>
      </c>
      <c r="AP123" s="9">
        <v>4.25</v>
      </c>
      <c r="AQ123" s="1">
        <v>3.08</v>
      </c>
      <c r="AR123" s="8">
        <v>75.7</v>
      </c>
      <c r="AS123" s="8">
        <v>302.1</v>
      </c>
      <c r="AT123" s="9">
        <v>5.57</v>
      </c>
      <c r="AU123" s="9">
        <v>1.09</v>
      </c>
      <c r="AV123" s="9">
        <v>2.1</v>
      </c>
      <c r="AW123" s="9">
        <v>1.14</v>
      </c>
      <c r="AX123" s="9">
        <v>3.86</v>
      </c>
      <c r="AY123" s="8">
        <v>144.2</v>
      </c>
      <c r="AZ123" s="8">
        <v>25.9</v>
      </c>
      <c r="BA123" s="9">
        <v>1.23</v>
      </c>
      <c r="BB123" s="9">
        <v>3.89</v>
      </c>
      <c r="BC123" s="8">
        <v>139.2</v>
      </c>
      <c r="BD123" s="10">
        <v>1869</v>
      </c>
      <c r="BE123" s="10">
        <v>0</v>
      </c>
    </row>
    <row r="124" ht="15.6" spans="1:57">
      <c r="A124" s="14">
        <v>123</v>
      </c>
      <c r="B124" s="14" t="s">
        <v>177</v>
      </c>
      <c r="C124" s="15">
        <v>0</v>
      </c>
      <c r="D124" s="14">
        <v>1</v>
      </c>
      <c r="E124" s="14">
        <v>60</v>
      </c>
      <c r="F124" s="14">
        <v>1</v>
      </c>
      <c r="G124" s="14">
        <v>0</v>
      </c>
      <c r="H124" s="14">
        <v>168</v>
      </c>
      <c r="I124" s="14">
        <v>65</v>
      </c>
      <c r="J124" s="19">
        <f t="shared" si="7"/>
        <v>23.0300453514739</v>
      </c>
      <c r="K124" s="14">
        <v>0.585</v>
      </c>
      <c r="L124" s="14">
        <v>0.295</v>
      </c>
      <c r="M124" s="14">
        <v>0.078</v>
      </c>
      <c r="N124" s="14">
        <v>113</v>
      </c>
      <c r="O124" s="20">
        <f t="shared" si="10"/>
        <v>0.154677966101695</v>
      </c>
      <c r="P124" s="20">
        <f t="shared" si="8"/>
        <v>1.98305084745763</v>
      </c>
      <c r="Q124" s="20">
        <f t="shared" si="9"/>
        <v>0.0128093538461538</v>
      </c>
      <c r="R124" s="20">
        <f t="shared" si="11"/>
        <v>2.58461538461538</v>
      </c>
      <c r="S124" s="23">
        <v>1</v>
      </c>
      <c r="T124" s="14">
        <v>1</v>
      </c>
      <c r="U124" s="14">
        <v>1</v>
      </c>
      <c r="V124" s="14">
        <v>0</v>
      </c>
      <c r="W124" s="14">
        <v>0</v>
      </c>
      <c r="X124" s="14">
        <v>3</v>
      </c>
      <c r="Y124" s="14">
        <v>1</v>
      </c>
      <c r="Z124" s="14">
        <v>0</v>
      </c>
      <c r="AA124" s="20">
        <v>1.011</v>
      </c>
      <c r="AB124" s="1">
        <v>7.9</v>
      </c>
      <c r="AC124" s="1">
        <v>134</v>
      </c>
      <c r="AD124" s="1">
        <v>6.14</v>
      </c>
      <c r="AE124" s="7">
        <v>0.395</v>
      </c>
      <c r="AF124" s="8">
        <v>101.5</v>
      </c>
      <c r="AG124" s="1">
        <v>339</v>
      </c>
      <c r="AH124" s="8">
        <v>12.2</v>
      </c>
      <c r="AI124" s="8">
        <v>30.4</v>
      </c>
      <c r="AJ124" s="9">
        <v>3.31</v>
      </c>
      <c r="AK124" s="8">
        <v>38.8</v>
      </c>
      <c r="AL124" s="8">
        <v>7.7</v>
      </c>
      <c r="AM124" s="8">
        <v>2</v>
      </c>
      <c r="AN124" s="9">
        <v>22.7</v>
      </c>
      <c r="AO124" s="8">
        <v>27.2</v>
      </c>
      <c r="AP124" s="9">
        <v>3.74</v>
      </c>
      <c r="AQ124" s="1">
        <v>6.48</v>
      </c>
      <c r="AR124" s="8">
        <v>118</v>
      </c>
      <c r="AS124" s="8">
        <v>345.5</v>
      </c>
      <c r="AT124" s="9">
        <v>5.79</v>
      </c>
      <c r="AU124" s="9">
        <v>1.15</v>
      </c>
      <c r="AV124" s="9">
        <v>2.52</v>
      </c>
      <c r="AW124" s="9">
        <v>1.18</v>
      </c>
      <c r="AX124" s="9">
        <v>3.84</v>
      </c>
      <c r="AY124" s="8">
        <v>139.3</v>
      </c>
      <c r="AZ124" s="8">
        <v>27.6</v>
      </c>
      <c r="BA124" s="9">
        <v>1.21</v>
      </c>
      <c r="BB124" s="9">
        <v>3.98</v>
      </c>
      <c r="BC124" s="8">
        <v>149.1</v>
      </c>
      <c r="BD124" s="10">
        <v>1864</v>
      </c>
      <c r="BE124" s="10">
        <v>0</v>
      </c>
    </row>
    <row r="125" ht="15.6" spans="1:57">
      <c r="A125" s="14">
        <v>124</v>
      </c>
      <c r="B125" s="14" t="s">
        <v>178</v>
      </c>
      <c r="C125" s="15">
        <v>1</v>
      </c>
      <c r="D125" s="14">
        <v>1</v>
      </c>
      <c r="E125" s="14">
        <v>61</v>
      </c>
      <c r="F125" s="14">
        <v>0</v>
      </c>
      <c r="G125" s="14">
        <v>0</v>
      </c>
      <c r="H125" s="14">
        <v>168</v>
      </c>
      <c r="I125" s="14">
        <v>80</v>
      </c>
      <c r="J125" s="19">
        <f t="shared" si="7"/>
        <v>28.3446712018141</v>
      </c>
      <c r="K125" s="14">
        <v>0.602</v>
      </c>
      <c r="L125" s="14">
        <v>0.278</v>
      </c>
      <c r="M125" s="14">
        <v>0.079</v>
      </c>
      <c r="N125" s="14">
        <v>222</v>
      </c>
      <c r="O125" s="20">
        <f t="shared" si="10"/>
        <v>0.171071942446043</v>
      </c>
      <c r="P125" s="20">
        <f t="shared" si="8"/>
        <v>2.16546762589928</v>
      </c>
      <c r="Q125" s="20">
        <f t="shared" si="9"/>
        <v>0.00980784</v>
      </c>
      <c r="R125" s="20">
        <f t="shared" si="11"/>
        <v>2.1</v>
      </c>
      <c r="S125" s="23">
        <v>1</v>
      </c>
      <c r="T125" s="14">
        <v>1</v>
      </c>
      <c r="U125" s="14">
        <v>2</v>
      </c>
      <c r="V125" s="14">
        <v>0</v>
      </c>
      <c r="W125" s="14">
        <v>0</v>
      </c>
      <c r="X125" s="14">
        <v>2</v>
      </c>
      <c r="Y125" s="14">
        <v>2</v>
      </c>
      <c r="Z125" s="1">
        <v>0</v>
      </c>
      <c r="AA125" s="20">
        <v>1.027</v>
      </c>
      <c r="AB125" s="1">
        <v>16.7</v>
      </c>
      <c r="AC125" s="1">
        <v>152</v>
      </c>
      <c r="AD125" s="1">
        <v>5.69</v>
      </c>
      <c r="AE125" s="7">
        <v>0.45</v>
      </c>
      <c r="AF125" s="8">
        <v>92.2</v>
      </c>
      <c r="AG125" s="1">
        <v>338</v>
      </c>
      <c r="AH125" s="8">
        <v>10</v>
      </c>
      <c r="AI125" s="8">
        <v>32.7</v>
      </c>
      <c r="AJ125" s="9">
        <v>2.6</v>
      </c>
      <c r="AK125" s="8">
        <v>40.9</v>
      </c>
      <c r="AL125" s="8">
        <v>18.9</v>
      </c>
      <c r="AM125" s="8">
        <v>4.4</v>
      </c>
      <c r="AN125" s="9">
        <v>8.2</v>
      </c>
      <c r="AO125" s="8">
        <v>40.4</v>
      </c>
      <c r="AP125" s="9">
        <v>6.96</v>
      </c>
      <c r="AQ125" s="1">
        <v>4.93</v>
      </c>
      <c r="AR125" s="8">
        <v>72.8</v>
      </c>
      <c r="AS125" s="8">
        <v>340.2</v>
      </c>
      <c r="AT125" s="9">
        <v>3.91</v>
      </c>
      <c r="AU125" s="9">
        <v>0.61</v>
      </c>
      <c r="AV125" s="9">
        <v>2.28</v>
      </c>
      <c r="AW125" s="9">
        <v>1.05</v>
      </c>
      <c r="AX125" s="9">
        <v>4.67</v>
      </c>
      <c r="AY125" s="8">
        <v>141.1</v>
      </c>
      <c r="AZ125" s="8">
        <v>30</v>
      </c>
      <c r="BA125" s="9">
        <v>1.6</v>
      </c>
      <c r="BB125" s="9">
        <v>2.03</v>
      </c>
      <c r="BC125" s="8">
        <v>230</v>
      </c>
      <c r="BD125" s="10">
        <v>1850</v>
      </c>
      <c r="BE125" s="10">
        <v>0</v>
      </c>
    </row>
    <row r="126" ht="15.6" spans="1:57">
      <c r="A126" s="14">
        <v>125</v>
      </c>
      <c r="B126" s="14" t="s">
        <v>179</v>
      </c>
      <c r="C126" s="15">
        <v>0</v>
      </c>
      <c r="D126" s="14">
        <v>2</v>
      </c>
      <c r="E126" s="14">
        <v>49</v>
      </c>
      <c r="F126" s="14">
        <v>0</v>
      </c>
      <c r="G126" s="14">
        <v>0</v>
      </c>
      <c r="H126" s="14">
        <v>167</v>
      </c>
      <c r="I126" s="14">
        <v>51</v>
      </c>
      <c r="J126" s="19">
        <f t="shared" si="7"/>
        <v>18.2867797339453</v>
      </c>
      <c r="K126" s="14">
        <v>0.388</v>
      </c>
      <c r="L126" s="14">
        <v>0.489</v>
      </c>
      <c r="M126" s="14">
        <v>0.113</v>
      </c>
      <c r="N126" s="14">
        <v>313</v>
      </c>
      <c r="O126" s="20">
        <f t="shared" si="10"/>
        <v>0.0896605316973415</v>
      </c>
      <c r="P126" s="20">
        <f t="shared" si="8"/>
        <v>0.793456032719836</v>
      </c>
      <c r="Q126" s="20">
        <f t="shared" si="9"/>
        <v>0.0267406294117647</v>
      </c>
      <c r="R126" s="20">
        <f t="shared" si="11"/>
        <v>3.27450980392157</v>
      </c>
      <c r="S126" s="23">
        <v>1</v>
      </c>
      <c r="T126" s="14">
        <v>1</v>
      </c>
      <c r="U126" s="14">
        <v>2</v>
      </c>
      <c r="V126" s="14">
        <v>0</v>
      </c>
      <c r="W126" s="14">
        <v>0</v>
      </c>
      <c r="X126" s="14">
        <v>3</v>
      </c>
      <c r="Y126" s="14">
        <v>2</v>
      </c>
      <c r="Z126" s="14">
        <v>0</v>
      </c>
      <c r="AA126" s="20">
        <v>1.022</v>
      </c>
      <c r="AB126" s="1">
        <v>14.4</v>
      </c>
      <c r="AC126" s="1">
        <v>127</v>
      </c>
      <c r="AD126" s="1">
        <v>7.43</v>
      </c>
      <c r="AE126" s="7">
        <v>0.368</v>
      </c>
      <c r="AF126" s="8">
        <v>95.8</v>
      </c>
      <c r="AG126" s="1">
        <v>345</v>
      </c>
      <c r="AH126" s="8">
        <v>9.7</v>
      </c>
      <c r="AI126" s="8">
        <v>37.1</v>
      </c>
      <c r="AJ126" s="9">
        <v>3.91</v>
      </c>
      <c r="AK126" s="8">
        <v>37.1</v>
      </c>
      <c r="AL126" s="8">
        <v>6.8</v>
      </c>
      <c r="AM126" s="8">
        <v>2.3</v>
      </c>
      <c r="AN126" s="9">
        <v>9.4</v>
      </c>
      <c r="AO126" s="8">
        <v>36.8</v>
      </c>
      <c r="AP126" s="9">
        <v>4.79</v>
      </c>
      <c r="AQ126" s="1">
        <v>4.11</v>
      </c>
      <c r="AR126" s="8">
        <v>52.8</v>
      </c>
      <c r="AS126" s="8">
        <v>212</v>
      </c>
      <c r="AT126" s="9">
        <v>3.48</v>
      </c>
      <c r="AU126" s="9">
        <v>1.61</v>
      </c>
      <c r="AV126" s="9">
        <v>2.18</v>
      </c>
      <c r="AW126" s="9">
        <v>1.05</v>
      </c>
      <c r="AX126" s="9">
        <v>3.55</v>
      </c>
      <c r="AY126" s="8">
        <v>146.5</v>
      </c>
      <c r="AZ126" s="8">
        <v>22.4</v>
      </c>
      <c r="BA126" s="9">
        <v>1.29</v>
      </c>
      <c r="BB126" s="9">
        <v>1.59</v>
      </c>
      <c r="BC126" s="8">
        <v>148.6</v>
      </c>
      <c r="BD126" s="10">
        <v>1845</v>
      </c>
      <c r="BE126" s="10">
        <v>0</v>
      </c>
    </row>
    <row r="127" ht="15.6" spans="1:57">
      <c r="A127" s="14">
        <v>126</v>
      </c>
      <c r="B127" s="14" t="s">
        <v>180</v>
      </c>
      <c r="C127" s="15">
        <v>0</v>
      </c>
      <c r="D127" s="14">
        <v>1</v>
      </c>
      <c r="E127" s="14">
        <v>72</v>
      </c>
      <c r="F127" s="14">
        <v>1</v>
      </c>
      <c r="G127" s="14">
        <v>1</v>
      </c>
      <c r="H127" s="14">
        <v>173</v>
      </c>
      <c r="I127" s="14">
        <v>68</v>
      </c>
      <c r="J127" s="19">
        <f t="shared" si="7"/>
        <v>22.7204383708109</v>
      </c>
      <c r="K127" s="14">
        <v>0.633</v>
      </c>
      <c r="L127" s="14">
        <v>0.308</v>
      </c>
      <c r="M127" s="14">
        <v>0.043</v>
      </c>
      <c r="N127" s="14">
        <v>161</v>
      </c>
      <c r="O127" s="20">
        <f t="shared" si="10"/>
        <v>0.0883733766233766</v>
      </c>
      <c r="P127" s="20">
        <f t="shared" si="8"/>
        <v>2.05519480519481</v>
      </c>
      <c r="Q127" s="20">
        <f t="shared" si="9"/>
        <v>0.0135560764705882</v>
      </c>
      <c r="R127" s="20">
        <f t="shared" si="11"/>
        <v>2.54411764705882</v>
      </c>
      <c r="S127" s="23">
        <v>1</v>
      </c>
      <c r="T127" s="14">
        <v>1</v>
      </c>
      <c r="U127" s="14">
        <v>2</v>
      </c>
      <c r="V127" s="14">
        <v>0</v>
      </c>
      <c r="W127" s="14">
        <v>0</v>
      </c>
      <c r="X127" s="14">
        <v>2</v>
      </c>
      <c r="Y127" s="14">
        <v>2</v>
      </c>
      <c r="Z127" s="1">
        <v>0</v>
      </c>
      <c r="AA127" s="20">
        <v>1.011</v>
      </c>
      <c r="AB127" s="1">
        <v>0.5</v>
      </c>
      <c r="AC127" s="1">
        <v>138</v>
      </c>
      <c r="AD127" s="1">
        <v>4.38</v>
      </c>
      <c r="AE127" s="7">
        <v>0.401</v>
      </c>
      <c r="AF127" s="8">
        <v>95.4</v>
      </c>
      <c r="AG127" s="1">
        <v>344</v>
      </c>
      <c r="AH127" s="8">
        <v>9.1</v>
      </c>
      <c r="AI127" s="8">
        <v>34.1</v>
      </c>
      <c r="AJ127" s="9">
        <v>3.26</v>
      </c>
      <c r="AK127" s="8">
        <v>42</v>
      </c>
      <c r="AL127" s="8">
        <v>12.9</v>
      </c>
      <c r="AM127" s="8">
        <v>4.3</v>
      </c>
      <c r="AN127" s="9">
        <v>13.5</v>
      </c>
      <c r="AO127" s="8">
        <v>13.8</v>
      </c>
      <c r="AP127" s="9">
        <v>7.13</v>
      </c>
      <c r="AQ127" s="1">
        <v>6.38</v>
      </c>
      <c r="AR127" s="8">
        <v>96.2</v>
      </c>
      <c r="AS127" s="8">
        <v>307.2</v>
      </c>
      <c r="AT127" s="9">
        <v>4.48</v>
      </c>
      <c r="AU127" s="9">
        <v>0.82</v>
      </c>
      <c r="AV127" s="9">
        <v>2.23</v>
      </c>
      <c r="AW127" s="9">
        <v>0.91</v>
      </c>
      <c r="AX127" s="9">
        <v>4.19</v>
      </c>
      <c r="AY127" s="8">
        <v>141.5</v>
      </c>
      <c r="AZ127" s="8">
        <v>26.9</v>
      </c>
      <c r="BA127" s="9">
        <v>1.32</v>
      </c>
      <c r="BB127" s="9">
        <v>2.97</v>
      </c>
      <c r="BC127" s="8">
        <v>234.8</v>
      </c>
      <c r="BD127" s="10">
        <v>1841</v>
      </c>
      <c r="BE127" s="10">
        <v>0</v>
      </c>
    </row>
    <row r="128" ht="15.6" spans="1:57">
      <c r="A128" s="14">
        <v>127</v>
      </c>
      <c r="B128" s="14" t="s">
        <v>181</v>
      </c>
      <c r="C128" s="15">
        <v>1</v>
      </c>
      <c r="D128" s="14">
        <v>2</v>
      </c>
      <c r="E128" s="14">
        <v>73</v>
      </c>
      <c r="F128" s="14">
        <v>0</v>
      </c>
      <c r="G128" s="14">
        <v>1</v>
      </c>
      <c r="H128" s="14">
        <v>154</v>
      </c>
      <c r="I128" s="14">
        <v>44</v>
      </c>
      <c r="J128" s="19">
        <f t="shared" si="7"/>
        <v>18.5528756957328</v>
      </c>
      <c r="K128" s="14">
        <v>0.682</v>
      </c>
      <c r="L128" s="14">
        <v>0.211</v>
      </c>
      <c r="M128" s="14">
        <v>0.089</v>
      </c>
      <c r="N128" s="14">
        <v>166</v>
      </c>
      <c r="O128" s="20">
        <f t="shared" si="10"/>
        <v>0.287668246445498</v>
      </c>
      <c r="P128" s="20">
        <f t="shared" si="8"/>
        <v>3.23222748815166</v>
      </c>
      <c r="Q128" s="20">
        <f t="shared" si="9"/>
        <v>0.0113729</v>
      </c>
      <c r="R128" s="20">
        <f t="shared" si="11"/>
        <v>3.5</v>
      </c>
      <c r="S128" s="23">
        <v>1</v>
      </c>
      <c r="T128" s="14">
        <v>1</v>
      </c>
      <c r="U128" s="14">
        <v>2</v>
      </c>
      <c r="V128" s="14">
        <v>0</v>
      </c>
      <c r="W128" s="14">
        <v>0</v>
      </c>
      <c r="X128" s="14">
        <v>3</v>
      </c>
      <c r="Y128" s="14">
        <v>2</v>
      </c>
      <c r="Z128" s="14">
        <v>0</v>
      </c>
      <c r="AA128" s="20">
        <v>1.008</v>
      </c>
      <c r="AB128" s="1">
        <v>7.6</v>
      </c>
      <c r="AC128" s="1">
        <v>112</v>
      </c>
      <c r="AD128" s="1">
        <v>5.97</v>
      </c>
      <c r="AE128" s="7">
        <v>0.338</v>
      </c>
      <c r="AF128" s="8">
        <v>88</v>
      </c>
      <c r="AG128" s="1">
        <v>331</v>
      </c>
      <c r="AH128" s="8">
        <v>11.9</v>
      </c>
      <c r="AI128" s="8">
        <v>35.8</v>
      </c>
      <c r="AJ128" s="9">
        <v>5.64</v>
      </c>
      <c r="AK128" s="8">
        <v>38.7</v>
      </c>
      <c r="AL128" s="8">
        <v>5.1</v>
      </c>
      <c r="AM128" s="8">
        <v>1.1</v>
      </c>
      <c r="AN128" s="9">
        <v>16.4</v>
      </c>
      <c r="AO128" s="8">
        <v>17.6</v>
      </c>
      <c r="AP128" s="9">
        <v>10.34</v>
      </c>
      <c r="AQ128" s="1">
        <v>18.43</v>
      </c>
      <c r="AR128" s="8">
        <v>356.7</v>
      </c>
      <c r="AS128" s="8">
        <v>426.9</v>
      </c>
      <c r="AT128" s="9">
        <v>5.77</v>
      </c>
      <c r="AU128" s="9">
        <v>1.54</v>
      </c>
      <c r="AV128" s="9">
        <v>2.24</v>
      </c>
      <c r="AW128" s="9">
        <v>1.07</v>
      </c>
      <c r="AX128" s="9">
        <v>4.76</v>
      </c>
      <c r="AY128" s="8">
        <v>141.3</v>
      </c>
      <c r="AZ128" s="8">
        <v>14.7</v>
      </c>
      <c r="BA128" s="9">
        <v>1.12</v>
      </c>
      <c r="BB128" s="9">
        <v>3.9</v>
      </c>
      <c r="BC128" s="8">
        <v>229.5</v>
      </c>
      <c r="BD128" s="10">
        <v>1196</v>
      </c>
      <c r="BE128" s="10">
        <v>1</v>
      </c>
    </row>
    <row r="129" ht="15.6" spans="1:57">
      <c r="A129" s="14">
        <v>128</v>
      </c>
      <c r="B129" s="14" t="s">
        <v>182</v>
      </c>
      <c r="C129" s="15">
        <v>1</v>
      </c>
      <c r="D129" s="14">
        <v>1</v>
      </c>
      <c r="E129" s="14">
        <v>68</v>
      </c>
      <c r="F129" s="14">
        <v>1</v>
      </c>
      <c r="G129" s="14">
        <v>0</v>
      </c>
      <c r="H129" s="14">
        <v>180</v>
      </c>
      <c r="I129" s="14">
        <v>92</v>
      </c>
      <c r="J129" s="19">
        <f t="shared" si="7"/>
        <v>28.3950617283951</v>
      </c>
      <c r="K129" s="14">
        <v>0.553</v>
      </c>
      <c r="L129" s="14">
        <v>0.349</v>
      </c>
      <c r="M129" s="14">
        <v>0.06</v>
      </c>
      <c r="N129" s="14">
        <v>270</v>
      </c>
      <c r="O129" s="20">
        <f t="shared" si="10"/>
        <v>0.0950716332378224</v>
      </c>
      <c r="P129" s="20">
        <f t="shared" si="8"/>
        <v>1.58452722063037</v>
      </c>
      <c r="Q129" s="20">
        <f t="shared" si="9"/>
        <v>0.0122908695652174</v>
      </c>
      <c r="R129" s="20">
        <f t="shared" si="11"/>
        <v>1.95652173913043</v>
      </c>
      <c r="S129" s="23">
        <v>4</v>
      </c>
      <c r="T129" s="14">
        <v>2</v>
      </c>
      <c r="U129" s="14">
        <v>2</v>
      </c>
      <c r="V129" s="14">
        <v>1</v>
      </c>
      <c r="W129" s="14">
        <v>1</v>
      </c>
      <c r="X129" s="14">
        <v>2</v>
      </c>
      <c r="Y129" s="14">
        <v>4</v>
      </c>
      <c r="Z129" s="1">
        <v>0</v>
      </c>
      <c r="AA129" s="20">
        <v>1.017</v>
      </c>
      <c r="AB129" s="1">
        <v>2.7</v>
      </c>
      <c r="AC129" s="1">
        <v>135</v>
      </c>
      <c r="AD129" s="1">
        <v>5.81</v>
      </c>
      <c r="AE129" s="7">
        <v>0.4</v>
      </c>
      <c r="AF129" s="8">
        <v>90.5</v>
      </c>
      <c r="AG129" s="1">
        <v>338</v>
      </c>
      <c r="AH129" s="8">
        <v>10.1</v>
      </c>
      <c r="AI129" s="8">
        <v>35.5</v>
      </c>
      <c r="AJ129" s="9">
        <v>3.61</v>
      </c>
      <c r="AK129" s="8">
        <v>46.1</v>
      </c>
      <c r="AL129" s="8">
        <v>13.8</v>
      </c>
      <c r="AM129" s="8">
        <v>4</v>
      </c>
      <c r="AN129" s="9">
        <v>12.7</v>
      </c>
      <c r="AO129" s="8">
        <v>26.8</v>
      </c>
      <c r="AP129" s="9">
        <v>5.3</v>
      </c>
      <c r="AQ129" s="1">
        <v>5.65</v>
      </c>
      <c r="AR129" s="8">
        <v>89.7</v>
      </c>
      <c r="AS129" s="8">
        <v>400.6</v>
      </c>
      <c r="AT129" s="9">
        <v>4.05</v>
      </c>
      <c r="AU129" s="9">
        <v>1.79</v>
      </c>
      <c r="AV129" s="9">
        <v>2.26</v>
      </c>
      <c r="AW129" s="9">
        <v>0.96</v>
      </c>
      <c r="AX129" s="9">
        <v>4.13</v>
      </c>
      <c r="AY129" s="8">
        <v>143.7</v>
      </c>
      <c r="AZ129" s="8">
        <v>23.9</v>
      </c>
      <c r="BA129" s="9">
        <v>0.77</v>
      </c>
      <c r="BB129" s="9">
        <v>2.53</v>
      </c>
      <c r="BC129" s="8">
        <v>166</v>
      </c>
      <c r="BD129" s="10">
        <v>3210</v>
      </c>
      <c r="BE129" s="10">
        <v>1</v>
      </c>
    </row>
    <row r="130" ht="15.6" spans="1:57">
      <c r="A130" s="14">
        <v>129</v>
      </c>
      <c r="B130" s="14" t="s">
        <v>183</v>
      </c>
      <c r="C130" s="15">
        <v>1</v>
      </c>
      <c r="D130" s="14">
        <v>1</v>
      </c>
      <c r="E130" s="14">
        <v>75</v>
      </c>
      <c r="F130" s="14">
        <v>0</v>
      </c>
      <c r="G130" s="14">
        <v>0</v>
      </c>
      <c r="H130" s="14">
        <v>165</v>
      </c>
      <c r="I130" s="14">
        <v>56</v>
      </c>
      <c r="J130" s="19">
        <f t="shared" ref="J130:J193" si="12">I130/((H130/100)*(H130/100))</f>
        <v>20.5693296602388</v>
      </c>
      <c r="K130" s="14">
        <v>0.718</v>
      </c>
      <c r="L130" s="14">
        <v>0.15</v>
      </c>
      <c r="M130" s="14">
        <v>0.079</v>
      </c>
      <c r="N130" s="14">
        <v>202</v>
      </c>
      <c r="O130" s="20">
        <f t="shared" si="10"/>
        <v>0.378146666666667</v>
      </c>
      <c r="P130" s="20">
        <f t="shared" ref="P130:P149" si="13">K130/L130</f>
        <v>4.78666666666667</v>
      </c>
      <c r="Q130" s="20">
        <f t="shared" ref="Q130:Q149" si="14">L130/J130</f>
        <v>0.00729241071428571</v>
      </c>
      <c r="R130" s="20">
        <f t="shared" si="11"/>
        <v>2.94642857142857</v>
      </c>
      <c r="S130" s="23">
        <v>1</v>
      </c>
      <c r="T130" s="14">
        <v>1</v>
      </c>
      <c r="U130" s="14">
        <v>3</v>
      </c>
      <c r="V130" s="14">
        <v>1</v>
      </c>
      <c r="W130" s="14">
        <v>1</v>
      </c>
      <c r="X130" s="14">
        <v>3</v>
      </c>
      <c r="Y130" s="14">
        <v>4</v>
      </c>
      <c r="Z130" s="14">
        <v>1</v>
      </c>
      <c r="AA130" s="20">
        <v>1.01</v>
      </c>
      <c r="AB130" s="1">
        <v>2.2</v>
      </c>
      <c r="AC130" s="1">
        <v>153</v>
      </c>
      <c r="AD130" s="1">
        <v>9.35</v>
      </c>
      <c r="AE130" s="7">
        <v>0.435</v>
      </c>
      <c r="AF130" s="8">
        <v>92.9</v>
      </c>
      <c r="AG130" s="1">
        <v>352</v>
      </c>
      <c r="AH130" s="8">
        <v>9.2</v>
      </c>
      <c r="AI130" s="8">
        <v>49.2</v>
      </c>
      <c r="AJ130" s="9">
        <v>3.59</v>
      </c>
      <c r="AK130" s="8">
        <v>40.9</v>
      </c>
      <c r="AL130" s="8">
        <v>10.4</v>
      </c>
      <c r="AM130" s="8">
        <v>3.7</v>
      </c>
      <c r="AN130" s="9">
        <v>24.6</v>
      </c>
      <c r="AO130" s="8">
        <v>29.1</v>
      </c>
      <c r="AP130" s="9">
        <v>4.08</v>
      </c>
      <c r="AQ130" s="1">
        <v>6.19</v>
      </c>
      <c r="AR130" s="8">
        <v>103.6</v>
      </c>
      <c r="AS130" s="8">
        <v>248.6</v>
      </c>
      <c r="AT130" s="9">
        <v>3.81</v>
      </c>
      <c r="AU130" s="9">
        <v>1.16</v>
      </c>
      <c r="AV130" s="9">
        <v>2.18</v>
      </c>
      <c r="AW130" s="9">
        <v>1.18</v>
      </c>
      <c r="AX130" s="9">
        <v>4.92</v>
      </c>
      <c r="AY130" s="8">
        <v>134.1</v>
      </c>
      <c r="AZ130" s="8">
        <v>27.8</v>
      </c>
      <c r="BA130" s="9">
        <v>1.06</v>
      </c>
      <c r="BB130" s="9">
        <v>2.36</v>
      </c>
      <c r="BC130" s="8">
        <v>183.8</v>
      </c>
      <c r="BD130" s="10">
        <v>539</v>
      </c>
      <c r="BE130" s="10">
        <v>1</v>
      </c>
    </row>
    <row r="131" ht="15.6" spans="1:57">
      <c r="A131" s="14">
        <v>130</v>
      </c>
      <c r="B131" s="14" t="s">
        <v>184</v>
      </c>
      <c r="C131" s="15">
        <v>0</v>
      </c>
      <c r="D131" s="14">
        <v>1</v>
      </c>
      <c r="E131" s="14">
        <v>32</v>
      </c>
      <c r="F131" s="14">
        <v>0</v>
      </c>
      <c r="G131" s="14">
        <v>0</v>
      </c>
      <c r="H131" s="14">
        <v>165</v>
      </c>
      <c r="I131" s="14">
        <v>55</v>
      </c>
      <c r="J131" s="19">
        <f t="shared" si="12"/>
        <v>20.2020202020202</v>
      </c>
      <c r="K131" s="14">
        <v>0.508</v>
      </c>
      <c r="L131" s="14">
        <v>0.361</v>
      </c>
      <c r="M131" s="14">
        <v>0.079</v>
      </c>
      <c r="N131" s="14">
        <v>159</v>
      </c>
      <c r="O131" s="20">
        <f t="shared" si="10"/>
        <v>0.111168975069252</v>
      </c>
      <c r="P131" s="20">
        <f t="shared" si="13"/>
        <v>1.40720221606648</v>
      </c>
      <c r="Q131" s="20">
        <f t="shared" si="14"/>
        <v>0.0178695</v>
      </c>
      <c r="R131" s="20">
        <f t="shared" si="11"/>
        <v>3</v>
      </c>
      <c r="S131" s="23">
        <v>2</v>
      </c>
      <c r="T131" s="14">
        <v>1</v>
      </c>
      <c r="U131" s="14">
        <v>1</v>
      </c>
      <c r="V131" s="14">
        <v>0</v>
      </c>
      <c r="W131" s="14">
        <v>0</v>
      </c>
      <c r="X131" s="14">
        <v>2</v>
      </c>
      <c r="Y131" s="14">
        <v>1</v>
      </c>
      <c r="Z131" s="1">
        <v>0</v>
      </c>
      <c r="AA131" s="20">
        <v>1.018</v>
      </c>
      <c r="AB131" s="1">
        <v>5.2</v>
      </c>
      <c r="AC131" s="1">
        <v>143</v>
      </c>
      <c r="AD131" s="1">
        <v>4.96</v>
      </c>
      <c r="AE131" s="7">
        <v>0.402</v>
      </c>
      <c r="AF131" s="8">
        <v>87</v>
      </c>
      <c r="AG131" s="1">
        <v>356</v>
      </c>
      <c r="AH131" s="8">
        <v>10.3</v>
      </c>
      <c r="AI131" s="8">
        <v>37.5</v>
      </c>
      <c r="AJ131" s="9">
        <v>2.11</v>
      </c>
      <c r="AK131" s="8">
        <v>42.3</v>
      </c>
      <c r="AL131" s="8">
        <v>7.5</v>
      </c>
      <c r="AM131" s="8">
        <v>2.7</v>
      </c>
      <c r="AN131" s="9">
        <v>9.4</v>
      </c>
      <c r="AO131" s="8">
        <v>7.8</v>
      </c>
      <c r="AP131" s="9">
        <v>4.2</v>
      </c>
      <c r="AQ131" s="1">
        <v>4.76</v>
      </c>
      <c r="AR131" s="8">
        <v>83.6</v>
      </c>
      <c r="AS131" s="8">
        <v>226.2</v>
      </c>
      <c r="AT131" s="9">
        <v>3.37</v>
      </c>
      <c r="AU131" s="9">
        <v>0.48</v>
      </c>
      <c r="AV131" s="9">
        <v>2.11</v>
      </c>
      <c r="AW131" s="9">
        <v>1.01</v>
      </c>
      <c r="AX131" s="9">
        <v>3.56</v>
      </c>
      <c r="AY131" s="8">
        <v>141.4</v>
      </c>
      <c r="AZ131" s="8">
        <v>29.5</v>
      </c>
      <c r="BA131" s="9">
        <v>1.23</v>
      </c>
      <c r="BB131" s="9">
        <v>1.91</v>
      </c>
      <c r="BC131" s="8">
        <v>165</v>
      </c>
      <c r="BD131" s="10">
        <v>1781</v>
      </c>
      <c r="BE131" s="31">
        <v>0</v>
      </c>
    </row>
    <row r="132" ht="15.6" spans="1:57">
      <c r="A132" s="14">
        <v>131</v>
      </c>
      <c r="B132" s="14" t="s">
        <v>185</v>
      </c>
      <c r="C132" s="15">
        <v>0</v>
      </c>
      <c r="D132" s="14">
        <v>1</v>
      </c>
      <c r="E132" s="14">
        <v>48</v>
      </c>
      <c r="F132" s="14">
        <v>0</v>
      </c>
      <c r="G132" s="14">
        <v>0</v>
      </c>
      <c r="H132" s="14">
        <v>167</v>
      </c>
      <c r="I132" s="14">
        <v>90</v>
      </c>
      <c r="J132" s="19">
        <f t="shared" si="12"/>
        <v>32.2707877657858</v>
      </c>
      <c r="K132" s="14">
        <v>0.677</v>
      </c>
      <c r="L132" s="14">
        <v>0.219</v>
      </c>
      <c r="M132" s="14">
        <v>0.083</v>
      </c>
      <c r="N132" s="14">
        <v>174</v>
      </c>
      <c r="O132" s="20">
        <f t="shared" si="10"/>
        <v>0.256579908675799</v>
      </c>
      <c r="P132" s="20">
        <f t="shared" si="13"/>
        <v>3.09132420091324</v>
      </c>
      <c r="Q132" s="20">
        <f t="shared" si="14"/>
        <v>0.00678632333333333</v>
      </c>
      <c r="R132" s="20">
        <f t="shared" si="11"/>
        <v>1.85555555555556</v>
      </c>
      <c r="S132" s="23">
        <v>2</v>
      </c>
      <c r="T132" s="14">
        <v>1</v>
      </c>
      <c r="U132" s="14">
        <v>2</v>
      </c>
      <c r="V132" s="14">
        <v>0</v>
      </c>
      <c r="W132" s="14">
        <v>0</v>
      </c>
      <c r="X132" s="14">
        <v>1</v>
      </c>
      <c r="Y132" s="14">
        <v>2</v>
      </c>
      <c r="Z132" s="14">
        <v>0</v>
      </c>
      <c r="AA132" s="20">
        <v>1.018</v>
      </c>
      <c r="AB132" s="8">
        <v>2</v>
      </c>
      <c r="AC132" s="1">
        <v>141</v>
      </c>
      <c r="AD132" s="1">
        <v>6.25</v>
      </c>
      <c r="AE132" s="7">
        <v>0.418</v>
      </c>
      <c r="AF132" s="8">
        <v>93.1</v>
      </c>
      <c r="AG132" s="1">
        <v>337</v>
      </c>
      <c r="AH132" s="8">
        <v>10.9</v>
      </c>
      <c r="AI132" s="8">
        <v>34.2</v>
      </c>
      <c r="AJ132" s="9">
        <v>2.95</v>
      </c>
      <c r="AK132" s="8">
        <v>40.8</v>
      </c>
      <c r="AL132" s="8">
        <v>9.4</v>
      </c>
      <c r="AM132" s="8">
        <v>3</v>
      </c>
      <c r="AN132" s="9">
        <v>13.2</v>
      </c>
      <c r="AO132" s="8">
        <v>50.2</v>
      </c>
      <c r="AP132" s="9">
        <v>7.09</v>
      </c>
      <c r="AQ132" s="1">
        <v>3.73</v>
      </c>
      <c r="AR132" s="8">
        <v>65.4</v>
      </c>
      <c r="AS132" s="8">
        <v>414.8</v>
      </c>
      <c r="AT132" s="9">
        <v>4.76</v>
      </c>
      <c r="AU132" s="9">
        <v>1.13</v>
      </c>
      <c r="AV132" s="9">
        <v>2.11</v>
      </c>
      <c r="AW132" s="9">
        <v>1.19</v>
      </c>
      <c r="AX132" s="9">
        <v>3.44</v>
      </c>
      <c r="AY132" s="8">
        <v>141.2</v>
      </c>
      <c r="AZ132" s="8">
        <v>23.8</v>
      </c>
      <c r="BA132" s="9">
        <v>1.39</v>
      </c>
      <c r="BB132" s="9">
        <v>2.95</v>
      </c>
      <c r="BC132" s="8">
        <v>262</v>
      </c>
      <c r="BD132" s="32">
        <v>1764</v>
      </c>
      <c r="BE132" s="10">
        <v>0</v>
      </c>
    </row>
    <row r="133" ht="15.6" spans="1:57">
      <c r="A133" s="14">
        <v>132</v>
      </c>
      <c r="B133" s="14" t="s">
        <v>186</v>
      </c>
      <c r="C133" s="15">
        <v>0</v>
      </c>
      <c r="D133" s="14">
        <v>2</v>
      </c>
      <c r="E133" s="14">
        <v>53</v>
      </c>
      <c r="F133" s="14">
        <v>1</v>
      </c>
      <c r="G133" s="14">
        <v>0</v>
      </c>
      <c r="H133" s="14">
        <v>165</v>
      </c>
      <c r="I133" s="14">
        <v>66</v>
      </c>
      <c r="J133" s="19">
        <f t="shared" si="12"/>
        <v>24.2424242424242</v>
      </c>
      <c r="K133" s="14">
        <v>0.561</v>
      </c>
      <c r="L133" s="14">
        <v>0.357</v>
      </c>
      <c r="M133" s="14">
        <v>0.057</v>
      </c>
      <c r="N133" s="14">
        <v>266</v>
      </c>
      <c r="O133" s="20">
        <f t="shared" si="10"/>
        <v>0.0895714285714286</v>
      </c>
      <c r="P133" s="20">
        <f t="shared" si="13"/>
        <v>1.57142857142857</v>
      </c>
      <c r="Q133" s="20">
        <f t="shared" si="14"/>
        <v>0.01472625</v>
      </c>
      <c r="R133" s="20">
        <f t="shared" si="11"/>
        <v>2.5</v>
      </c>
      <c r="S133" s="23">
        <v>1</v>
      </c>
      <c r="T133" s="14">
        <v>1</v>
      </c>
      <c r="U133" s="14">
        <v>1</v>
      </c>
      <c r="V133" s="14">
        <v>0</v>
      </c>
      <c r="W133" s="14">
        <v>0</v>
      </c>
      <c r="X133" s="14">
        <v>3</v>
      </c>
      <c r="Y133" s="14">
        <v>1</v>
      </c>
      <c r="Z133" s="14">
        <v>0</v>
      </c>
      <c r="AA133" s="20">
        <v>1.019</v>
      </c>
      <c r="AB133" s="1">
        <v>7.9</v>
      </c>
      <c r="AC133" s="1">
        <v>132</v>
      </c>
      <c r="AD133" s="1">
        <v>6.12</v>
      </c>
      <c r="AE133" s="7">
        <v>0.387</v>
      </c>
      <c r="AF133" s="8">
        <v>90.8</v>
      </c>
      <c r="AG133" s="1">
        <v>342</v>
      </c>
      <c r="AH133" s="8">
        <v>8.7</v>
      </c>
      <c r="AI133" s="8">
        <v>36.5</v>
      </c>
      <c r="AJ133" s="9">
        <v>2.36</v>
      </c>
      <c r="AK133" s="8">
        <v>45.3</v>
      </c>
      <c r="AL133" s="8">
        <v>9.8</v>
      </c>
      <c r="AM133" s="8">
        <v>3.3</v>
      </c>
      <c r="AN133" s="9">
        <v>13</v>
      </c>
      <c r="AO133" s="8">
        <v>63.8</v>
      </c>
      <c r="AP133" s="9">
        <v>4.83</v>
      </c>
      <c r="AQ133" s="1">
        <v>5.15</v>
      </c>
      <c r="AR133" s="8">
        <v>55.5</v>
      </c>
      <c r="AS133" s="8">
        <v>226.4</v>
      </c>
      <c r="AT133" s="9">
        <v>3.55</v>
      </c>
      <c r="AU133" s="9">
        <v>1.04</v>
      </c>
      <c r="AV133" s="9">
        <v>2.45</v>
      </c>
      <c r="AW133" s="9">
        <v>1.37</v>
      </c>
      <c r="AX133" s="9">
        <v>4.06</v>
      </c>
      <c r="AY133" s="8">
        <v>144</v>
      </c>
      <c r="AZ133" s="8">
        <v>27.8</v>
      </c>
      <c r="BA133" s="9">
        <v>1.33</v>
      </c>
      <c r="BB133" s="9">
        <v>2</v>
      </c>
      <c r="BC133" s="8">
        <v>196.5</v>
      </c>
      <c r="BD133" s="10">
        <v>1760</v>
      </c>
      <c r="BE133" s="10">
        <v>0</v>
      </c>
    </row>
    <row r="134" ht="15.6" spans="1:57">
      <c r="A134" s="14">
        <v>133</v>
      </c>
      <c r="B134" s="14" t="s">
        <v>187</v>
      </c>
      <c r="C134" s="15">
        <v>1</v>
      </c>
      <c r="D134" s="14">
        <v>1</v>
      </c>
      <c r="E134" s="14">
        <v>52</v>
      </c>
      <c r="F134" s="14">
        <v>0</v>
      </c>
      <c r="G134" s="14">
        <v>0</v>
      </c>
      <c r="H134" s="14">
        <v>173</v>
      </c>
      <c r="I134" s="14">
        <v>69</v>
      </c>
      <c r="J134" s="19">
        <f t="shared" si="12"/>
        <v>23.0545624644993</v>
      </c>
      <c r="K134" s="14">
        <v>0.586</v>
      </c>
      <c r="L134" s="14">
        <v>0.277</v>
      </c>
      <c r="M134" s="14">
        <v>0.044</v>
      </c>
      <c r="N134" s="14">
        <v>267</v>
      </c>
      <c r="O134" s="20">
        <f t="shared" si="10"/>
        <v>0.0930830324909747</v>
      </c>
      <c r="P134" s="20">
        <f t="shared" si="13"/>
        <v>2.11552346570397</v>
      </c>
      <c r="Q134" s="20">
        <f t="shared" si="14"/>
        <v>0.0120149753623188</v>
      </c>
      <c r="R134" s="20">
        <f t="shared" si="11"/>
        <v>2.50724637681159</v>
      </c>
      <c r="S134" s="23">
        <v>4</v>
      </c>
      <c r="T134" s="14">
        <v>2</v>
      </c>
      <c r="U134" s="14">
        <v>3</v>
      </c>
      <c r="V134" s="14">
        <v>2</v>
      </c>
      <c r="W134" s="14">
        <v>1</v>
      </c>
      <c r="X134" s="14">
        <v>2</v>
      </c>
      <c r="Y134" s="14">
        <v>4</v>
      </c>
      <c r="Z134" s="14">
        <v>1</v>
      </c>
      <c r="AA134" s="20">
        <v>1.012</v>
      </c>
      <c r="AB134" s="1">
        <v>1.4</v>
      </c>
      <c r="AC134" s="1">
        <v>144</v>
      </c>
      <c r="AD134" s="1">
        <v>7.44</v>
      </c>
      <c r="AE134" s="7">
        <v>0.45</v>
      </c>
      <c r="AF134" s="8">
        <v>90.7</v>
      </c>
      <c r="AG134" s="1">
        <v>320</v>
      </c>
      <c r="AH134" s="8">
        <v>12.4</v>
      </c>
      <c r="AI134" s="8">
        <v>35.1</v>
      </c>
      <c r="AJ134" s="9">
        <v>3.42</v>
      </c>
      <c r="AK134" s="8">
        <v>41.1</v>
      </c>
      <c r="AL134" s="8">
        <v>5.3</v>
      </c>
      <c r="AM134" s="8">
        <v>1.6</v>
      </c>
      <c r="AN134" s="9">
        <v>12.6</v>
      </c>
      <c r="AO134" s="8">
        <v>60.1</v>
      </c>
      <c r="AP134" s="9">
        <v>4.9</v>
      </c>
      <c r="AQ134" s="9">
        <v>3.9</v>
      </c>
      <c r="AR134" s="8">
        <v>70.2</v>
      </c>
      <c r="AS134" s="8">
        <v>273.6</v>
      </c>
      <c r="AT134" s="9">
        <v>6.43</v>
      </c>
      <c r="AU134" s="9">
        <v>1.73</v>
      </c>
      <c r="AV134" s="9">
        <v>2.21</v>
      </c>
      <c r="AW134" s="9">
        <v>1.08</v>
      </c>
      <c r="AX134" s="9">
        <v>4.61</v>
      </c>
      <c r="AY134" s="8">
        <v>139.9</v>
      </c>
      <c r="AZ134" s="8">
        <v>25.9</v>
      </c>
      <c r="BA134" s="9">
        <v>0.87</v>
      </c>
      <c r="BB134" s="9">
        <v>4.67</v>
      </c>
      <c r="BC134" s="8">
        <v>158</v>
      </c>
      <c r="BD134" s="10">
        <v>419</v>
      </c>
      <c r="BE134" s="10">
        <v>1</v>
      </c>
    </row>
    <row r="135" ht="15.6" spans="1:57">
      <c r="A135" s="14">
        <v>134</v>
      </c>
      <c r="B135" s="14" t="s">
        <v>188</v>
      </c>
      <c r="C135" s="15">
        <v>1</v>
      </c>
      <c r="D135" s="14">
        <v>1</v>
      </c>
      <c r="E135" s="14">
        <v>59</v>
      </c>
      <c r="F135" s="14">
        <v>0</v>
      </c>
      <c r="G135" s="14">
        <v>0</v>
      </c>
      <c r="H135" s="14">
        <v>169</v>
      </c>
      <c r="I135" s="14">
        <v>57</v>
      </c>
      <c r="J135" s="19">
        <f t="shared" si="12"/>
        <v>19.9572844088092</v>
      </c>
      <c r="K135" s="14">
        <v>0.49</v>
      </c>
      <c r="L135" s="14">
        <v>0.367</v>
      </c>
      <c r="M135" s="14">
        <v>0.087</v>
      </c>
      <c r="N135" s="14">
        <v>148</v>
      </c>
      <c r="O135" s="20">
        <f t="shared" si="10"/>
        <v>0.116158038147139</v>
      </c>
      <c r="P135" s="20">
        <f t="shared" si="13"/>
        <v>1.33514986376022</v>
      </c>
      <c r="Q135" s="20">
        <f t="shared" si="14"/>
        <v>0.0183892754385965</v>
      </c>
      <c r="R135" s="20">
        <f t="shared" si="11"/>
        <v>2.96491228070175</v>
      </c>
      <c r="S135" s="23">
        <v>1</v>
      </c>
      <c r="T135" s="14">
        <v>1</v>
      </c>
      <c r="U135" s="14">
        <v>2</v>
      </c>
      <c r="V135" s="14">
        <v>2</v>
      </c>
      <c r="W135" s="14">
        <v>1</v>
      </c>
      <c r="X135" s="14">
        <v>2</v>
      </c>
      <c r="Y135" s="14">
        <v>4</v>
      </c>
      <c r="Z135" s="1">
        <v>0</v>
      </c>
      <c r="AA135" s="20">
        <v>1.038</v>
      </c>
      <c r="AB135" s="1">
        <v>4.1</v>
      </c>
      <c r="AC135" s="1">
        <v>142</v>
      </c>
      <c r="AD135" s="1">
        <v>6.14</v>
      </c>
      <c r="AE135" s="7">
        <v>0.413</v>
      </c>
      <c r="AF135" s="8">
        <v>91.6</v>
      </c>
      <c r="AG135" s="1">
        <v>345</v>
      </c>
      <c r="AH135" s="8">
        <v>10.2</v>
      </c>
      <c r="AI135" s="8">
        <v>31.9</v>
      </c>
      <c r="AJ135" s="9">
        <v>2.99</v>
      </c>
      <c r="AK135" s="8">
        <v>42.4</v>
      </c>
      <c r="AL135" s="9">
        <v>7.1</v>
      </c>
      <c r="AM135" s="1">
        <v>1.8</v>
      </c>
      <c r="AN135" s="9">
        <v>9.5</v>
      </c>
      <c r="AO135" s="8">
        <v>12.1</v>
      </c>
      <c r="AP135" s="9">
        <v>13.48</v>
      </c>
      <c r="AQ135" s="1">
        <v>6.41</v>
      </c>
      <c r="AR135" s="8">
        <v>64.9</v>
      </c>
      <c r="AS135" s="8">
        <v>220</v>
      </c>
      <c r="AT135" s="9">
        <v>4.14</v>
      </c>
      <c r="AU135" s="9">
        <v>1.82</v>
      </c>
      <c r="AV135" s="9">
        <v>2.32</v>
      </c>
      <c r="AW135" s="9">
        <v>1.13</v>
      </c>
      <c r="AX135" s="9">
        <v>3.69</v>
      </c>
      <c r="AY135" s="8">
        <v>144.1</v>
      </c>
      <c r="AZ135" s="8">
        <v>27.5</v>
      </c>
      <c r="BA135" s="9">
        <v>0.98</v>
      </c>
      <c r="BB135" s="9">
        <v>2.68</v>
      </c>
      <c r="BC135" s="8">
        <v>302.5</v>
      </c>
      <c r="BD135" s="10">
        <v>1739</v>
      </c>
      <c r="BE135" s="10">
        <v>1</v>
      </c>
    </row>
    <row r="136" ht="15.6" spans="1:57">
      <c r="A136" s="14">
        <v>135</v>
      </c>
      <c r="B136" s="14" t="s">
        <v>189</v>
      </c>
      <c r="C136" s="15">
        <v>1</v>
      </c>
      <c r="D136" s="14">
        <v>1</v>
      </c>
      <c r="E136" s="14">
        <v>42</v>
      </c>
      <c r="F136" s="14">
        <v>0</v>
      </c>
      <c r="G136" s="14">
        <v>0</v>
      </c>
      <c r="H136" s="14">
        <v>165</v>
      </c>
      <c r="I136" s="14">
        <v>60</v>
      </c>
      <c r="J136" s="19">
        <f t="shared" si="12"/>
        <v>22.038567493113</v>
      </c>
      <c r="K136" s="14">
        <v>0.743</v>
      </c>
      <c r="L136" s="14">
        <v>0.169</v>
      </c>
      <c r="M136" s="14">
        <v>0.064</v>
      </c>
      <c r="N136" s="14">
        <v>245</v>
      </c>
      <c r="O136" s="20">
        <f t="shared" si="10"/>
        <v>0.281372781065089</v>
      </c>
      <c r="P136" s="20">
        <f t="shared" si="13"/>
        <v>4.39644970414201</v>
      </c>
      <c r="Q136" s="20">
        <f t="shared" si="14"/>
        <v>0.007668375</v>
      </c>
      <c r="R136" s="20">
        <f t="shared" si="11"/>
        <v>2.75</v>
      </c>
      <c r="S136" s="23">
        <v>3</v>
      </c>
      <c r="T136" s="14">
        <v>1</v>
      </c>
      <c r="U136" s="14">
        <v>3</v>
      </c>
      <c r="V136" s="14">
        <v>3</v>
      </c>
      <c r="W136" s="14">
        <v>1</v>
      </c>
      <c r="X136" s="14">
        <v>2</v>
      </c>
      <c r="Y136" s="14">
        <v>4</v>
      </c>
      <c r="Z136" s="14">
        <v>1</v>
      </c>
      <c r="AA136" s="20">
        <v>1.018</v>
      </c>
      <c r="AB136" s="8">
        <v>1</v>
      </c>
      <c r="AC136" s="1">
        <v>133</v>
      </c>
      <c r="AD136" s="1">
        <v>9.03</v>
      </c>
      <c r="AE136" s="7">
        <v>0.404</v>
      </c>
      <c r="AF136" s="8">
        <v>86</v>
      </c>
      <c r="AG136" s="1">
        <v>329</v>
      </c>
      <c r="AH136" s="8">
        <v>10.7</v>
      </c>
      <c r="AI136" s="8">
        <v>33.2</v>
      </c>
      <c r="AJ136" s="9">
        <v>3.77</v>
      </c>
      <c r="AK136" s="8">
        <v>39.1</v>
      </c>
      <c r="AL136" s="8">
        <v>9.2</v>
      </c>
      <c r="AM136" s="8">
        <v>3.2</v>
      </c>
      <c r="AN136" s="9">
        <v>10.3</v>
      </c>
      <c r="AO136" s="8">
        <v>28.1</v>
      </c>
      <c r="AP136" s="9">
        <v>5.08</v>
      </c>
      <c r="AQ136" s="9">
        <v>3.2</v>
      </c>
      <c r="AR136" s="8">
        <v>82.7</v>
      </c>
      <c r="AS136" s="8">
        <v>327.8</v>
      </c>
      <c r="AT136" s="9">
        <v>3.65</v>
      </c>
      <c r="AU136" s="9">
        <v>0.92</v>
      </c>
      <c r="AV136" s="9">
        <v>2.3</v>
      </c>
      <c r="AW136" s="9">
        <v>1.26</v>
      </c>
      <c r="AX136" s="9">
        <v>3.97</v>
      </c>
      <c r="AY136" s="8">
        <v>139.3</v>
      </c>
      <c r="AZ136" s="8">
        <v>22.1</v>
      </c>
      <c r="BA136" s="9">
        <v>0.9</v>
      </c>
      <c r="BB136" s="9">
        <v>2.18</v>
      </c>
      <c r="BC136" s="8">
        <v>160</v>
      </c>
      <c r="BD136" s="10">
        <v>1490</v>
      </c>
      <c r="BE136" s="10">
        <v>1</v>
      </c>
    </row>
    <row r="137" ht="15.6" spans="1:57">
      <c r="A137" s="14">
        <v>136</v>
      </c>
      <c r="B137" s="14" t="s">
        <v>190</v>
      </c>
      <c r="C137" s="15">
        <v>0</v>
      </c>
      <c r="D137" s="14">
        <v>1</v>
      </c>
      <c r="E137" s="14">
        <v>55</v>
      </c>
      <c r="F137" s="14">
        <v>1</v>
      </c>
      <c r="G137" s="14">
        <v>1</v>
      </c>
      <c r="H137" s="14">
        <v>177</v>
      </c>
      <c r="I137" s="14">
        <v>74</v>
      </c>
      <c r="J137" s="19">
        <f t="shared" si="12"/>
        <v>23.6202879121581</v>
      </c>
      <c r="K137" s="14">
        <v>0.617</v>
      </c>
      <c r="L137" s="14">
        <v>0.25</v>
      </c>
      <c r="M137" s="14">
        <v>0.09</v>
      </c>
      <c r="N137" s="14">
        <v>166</v>
      </c>
      <c r="O137" s="20">
        <f t="shared" si="10"/>
        <v>0.22212</v>
      </c>
      <c r="P137" s="20">
        <f t="shared" si="13"/>
        <v>2.468</v>
      </c>
      <c r="Q137" s="20">
        <f t="shared" si="14"/>
        <v>0.0105841216216216</v>
      </c>
      <c r="R137" s="20">
        <f t="shared" si="11"/>
        <v>2.39189189189189</v>
      </c>
      <c r="S137" s="23">
        <v>1</v>
      </c>
      <c r="T137" s="14">
        <v>1</v>
      </c>
      <c r="U137" s="14">
        <v>2</v>
      </c>
      <c r="V137" s="14">
        <v>0</v>
      </c>
      <c r="W137" s="14">
        <v>0</v>
      </c>
      <c r="X137" s="14">
        <v>2</v>
      </c>
      <c r="Y137" s="14">
        <v>2</v>
      </c>
      <c r="Z137" s="14">
        <v>0</v>
      </c>
      <c r="AA137" s="20">
        <v>1.009</v>
      </c>
      <c r="AB137" s="1">
        <v>9.6</v>
      </c>
      <c r="AC137" s="1">
        <v>139</v>
      </c>
      <c r="AD137" s="9">
        <v>4</v>
      </c>
      <c r="AE137" s="7">
        <v>0.383</v>
      </c>
      <c r="AF137" s="8">
        <v>86.3</v>
      </c>
      <c r="AG137" s="1">
        <v>363</v>
      </c>
      <c r="AH137" s="8">
        <v>9.9</v>
      </c>
      <c r="AI137" s="8">
        <v>32.6</v>
      </c>
      <c r="AJ137" s="9">
        <v>2.62</v>
      </c>
      <c r="AK137" s="8">
        <v>40.8</v>
      </c>
      <c r="AL137" s="8">
        <v>10.7</v>
      </c>
      <c r="AM137" s="8">
        <v>3.4</v>
      </c>
      <c r="AN137" s="9">
        <v>9.2</v>
      </c>
      <c r="AO137" s="8">
        <v>12.7</v>
      </c>
      <c r="AP137" s="9">
        <v>4.77</v>
      </c>
      <c r="AQ137" s="1">
        <v>4.07</v>
      </c>
      <c r="AR137" s="8">
        <v>82.4</v>
      </c>
      <c r="AS137" s="8">
        <v>281.6</v>
      </c>
      <c r="AT137" s="9">
        <v>3.34</v>
      </c>
      <c r="AU137" s="9">
        <v>0.79</v>
      </c>
      <c r="AV137" s="9">
        <v>2.1</v>
      </c>
      <c r="AW137" s="9">
        <v>1.27</v>
      </c>
      <c r="AX137" s="9">
        <v>3.72</v>
      </c>
      <c r="AY137" s="8">
        <v>142.2</v>
      </c>
      <c r="AZ137" s="8">
        <v>23.9</v>
      </c>
      <c r="BA137" s="9">
        <v>1.16</v>
      </c>
      <c r="BB137" s="9">
        <v>1.83</v>
      </c>
      <c r="BC137" s="8">
        <v>181</v>
      </c>
      <c r="BD137" s="10">
        <v>1717</v>
      </c>
      <c r="BE137" s="10">
        <v>0</v>
      </c>
    </row>
    <row r="138" ht="17" customHeight="1" spans="1:57">
      <c r="A138" s="14">
        <v>137</v>
      </c>
      <c r="B138" s="14" t="s">
        <v>191</v>
      </c>
      <c r="C138" s="15">
        <v>0</v>
      </c>
      <c r="D138" s="14">
        <v>2</v>
      </c>
      <c r="E138" s="14">
        <v>45</v>
      </c>
      <c r="F138" s="14">
        <v>1</v>
      </c>
      <c r="G138" s="14">
        <v>1</v>
      </c>
      <c r="H138" s="14">
        <v>162</v>
      </c>
      <c r="I138" s="14">
        <v>85</v>
      </c>
      <c r="J138" s="19">
        <f t="shared" si="12"/>
        <v>32.3883554336229</v>
      </c>
      <c r="K138" s="14">
        <v>0.561</v>
      </c>
      <c r="L138" s="14">
        <v>0.327</v>
      </c>
      <c r="M138" s="14">
        <v>0.066</v>
      </c>
      <c r="N138" s="14">
        <v>244</v>
      </c>
      <c r="O138" s="34">
        <f t="shared" si="10"/>
        <v>0.113229357798165</v>
      </c>
      <c r="P138" s="20">
        <f t="shared" si="13"/>
        <v>1.71559633027523</v>
      </c>
      <c r="Q138" s="20">
        <f t="shared" si="14"/>
        <v>0.0100962211764706</v>
      </c>
      <c r="R138" s="20">
        <f t="shared" si="11"/>
        <v>1.90588235294118</v>
      </c>
      <c r="S138" s="23">
        <v>1</v>
      </c>
      <c r="T138" s="14">
        <v>1</v>
      </c>
      <c r="U138" s="14">
        <v>2</v>
      </c>
      <c r="V138" s="14">
        <v>0</v>
      </c>
      <c r="W138" s="14">
        <v>0</v>
      </c>
      <c r="X138" s="14">
        <v>3</v>
      </c>
      <c r="Y138" s="14">
        <v>2</v>
      </c>
      <c r="Z138" s="1">
        <v>0</v>
      </c>
      <c r="AA138" s="20"/>
      <c r="AC138" s="1">
        <v>111</v>
      </c>
      <c r="AD138" s="1">
        <v>6.98</v>
      </c>
      <c r="AE138" s="7">
        <v>0.344</v>
      </c>
      <c r="AF138" s="8">
        <v>92.5</v>
      </c>
      <c r="AG138" s="1">
        <v>323</v>
      </c>
      <c r="AH138" s="8">
        <v>10.9</v>
      </c>
      <c r="AI138" s="8">
        <v>31.9</v>
      </c>
      <c r="AJ138" s="9">
        <v>4.65</v>
      </c>
      <c r="AK138" s="8">
        <v>40.5</v>
      </c>
      <c r="AL138" s="8">
        <v>5.2</v>
      </c>
      <c r="AM138" s="8">
        <v>1.4</v>
      </c>
      <c r="AN138" s="9">
        <v>14.7</v>
      </c>
      <c r="AO138" s="8">
        <v>22</v>
      </c>
      <c r="AP138" s="9">
        <v>5.68</v>
      </c>
      <c r="AQ138" s="1">
        <v>27.94</v>
      </c>
      <c r="AR138" s="8">
        <v>970.9</v>
      </c>
      <c r="AS138" s="8">
        <v>431.5</v>
      </c>
      <c r="AT138" s="9">
        <v>4.08</v>
      </c>
      <c r="AU138" s="9">
        <v>6.34</v>
      </c>
      <c r="AV138" s="9">
        <v>2.39</v>
      </c>
      <c r="AW138" s="9">
        <v>2.39</v>
      </c>
      <c r="AX138" s="9">
        <v>5.13</v>
      </c>
      <c r="AY138" s="8">
        <v>138.8</v>
      </c>
      <c r="AZ138" s="8">
        <v>18.7</v>
      </c>
      <c r="BA138" s="9">
        <v>0.53</v>
      </c>
      <c r="BB138" s="9">
        <v>1.17</v>
      </c>
      <c r="BC138" s="8">
        <v>240</v>
      </c>
      <c r="BD138" s="31">
        <v>1333</v>
      </c>
      <c r="BE138" s="31">
        <v>0</v>
      </c>
    </row>
    <row r="139" ht="15.6" spans="1:57">
      <c r="A139" s="14">
        <v>138</v>
      </c>
      <c r="B139" s="14" t="s">
        <v>192</v>
      </c>
      <c r="C139" s="15">
        <v>1</v>
      </c>
      <c r="D139" s="14">
        <v>1</v>
      </c>
      <c r="E139" s="14">
        <v>47</v>
      </c>
      <c r="F139" s="14">
        <v>0</v>
      </c>
      <c r="G139" s="14">
        <v>0</v>
      </c>
      <c r="H139" s="14">
        <v>170</v>
      </c>
      <c r="I139" s="14">
        <v>55</v>
      </c>
      <c r="J139" s="19">
        <f t="shared" si="12"/>
        <v>19.0311418685121</v>
      </c>
      <c r="K139" s="14">
        <v>0.593</v>
      </c>
      <c r="L139" s="14">
        <v>0.305</v>
      </c>
      <c r="M139" s="14">
        <v>0.085</v>
      </c>
      <c r="N139" s="14">
        <v>143</v>
      </c>
      <c r="O139" s="20">
        <f t="shared" si="10"/>
        <v>0.165262295081967</v>
      </c>
      <c r="P139" s="20">
        <f t="shared" si="13"/>
        <v>1.94426229508197</v>
      </c>
      <c r="Q139" s="20">
        <f t="shared" si="14"/>
        <v>0.0160263636363636</v>
      </c>
      <c r="R139" s="20">
        <f t="shared" si="11"/>
        <v>3.09090909090909</v>
      </c>
      <c r="S139" s="23">
        <v>1</v>
      </c>
      <c r="T139" s="14">
        <v>2</v>
      </c>
      <c r="U139" s="14">
        <v>1</v>
      </c>
      <c r="V139" s="14">
        <v>1</v>
      </c>
      <c r="W139" s="14">
        <v>1</v>
      </c>
      <c r="X139" s="14">
        <v>2</v>
      </c>
      <c r="Y139" s="14">
        <v>4</v>
      </c>
      <c r="Z139" s="1">
        <v>0</v>
      </c>
      <c r="AA139" s="20">
        <v>1.014</v>
      </c>
      <c r="AB139" s="1">
        <v>2.1</v>
      </c>
      <c r="AC139" s="1">
        <v>130</v>
      </c>
      <c r="AD139" s="1">
        <v>3.64</v>
      </c>
      <c r="AE139" s="7">
        <v>0.373</v>
      </c>
      <c r="AF139" s="8">
        <v>93.3</v>
      </c>
      <c r="AG139" s="1">
        <v>349</v>
      </c>
      <c r="AH139" s="8">
        <v>10.7</v>
      </c>
      <c r="AI139" s="8">
        <v>41.5</v>
      </c>
      <c r="AJ139" s="9">
        <v>1.51</v>
      </c>
      <c r="AK139" s="8">
        <v>37.3</v>
      </c>
      <c r="AL139" s="8">
        <v>10.9</v>
      </c>
      <c r="AM139" s="8">
        <v>3.1</v>
      </c>
      <c r="AN139" s="9">
        <v>6.9</v>
      </c>
      <c r="AO139" s="8">
        <v>14.2</v>
      </c>
      <c r="AP139" s="9">
        <v>4.56</v>
      </c>
      <c r="AQ139" s="1">
        <v>4.41</v>
      </c>
      <c r="AR139" s="8">
        <v>86.8</v>
      </c>
      <c r="AS139" s="8">
        <v>292.5</v>
      </c>
      <c r="AT139" s="9">
        <v>4.09</v>
      </c>
      <c r="AU139" s="9">
        <v>0.61</v>
      </c>
      <c r="AV139" s="9">
        <v>2.01</v>
      </c>
      <c r="AW139" s="9">
        <v>1.1</v>
      </c>
      <c r="AX139" s="9">
        <v>4.01</v>
      </c>
      <c r="AY139" s="8">
        <v>144.1</v>
      </c>
      <c r="AZ139" s="8">
        <v>26.9</v>
      </c>
      <c r="BA139" s="9">
        <v>1.69</v>
      </c>
      <c r="BB139" s="9">
        <v>2.12</v>
      </c>
      <c r="BC139" s="8">
        <v>185</v>
      </c>
      <c r="BD139" s="10">
        <v>1302</v>
      </c>
      <c r="BE139" s="10">
        <v>1</v>
      </c>
    </row>
    <row r="140" ht="15.6" spans="1:57">
      <c r="A140" s="14">
        <v>139</v>
      </c>
      <c r="B140" s="14" t="s">
        <v>193</v>
      </c>
      <c r="C140" s="15">
        <v>0</v>
      </c>
      <c r="D140" s="14">
        <v>1</v>
      </c>
      <c r="E140" s="14">
        <v>46</v>
      </c>
      <c r="F140" s="14">
        <v>0</v>
      </c>
      <c r="G140" s="14">
        <v>0</v>
      </c>
      <c r="H140" s="14">
        <v>175</v>
      </c>
      <c r="I140" s="14">
        <v>79</v>
      </c>
      <c r="J140" s="19">
        <f t="shared" si="12"/>
        <v>25.7959183673469</v>
      </c>
      <c r="K140" s="14">
        <v>0.542</v>
      </c>
      <c r="L140" s="14">
        <v>0.363</v>
      </c>
      <c r="M140" s="14">
        <v>0.071</v>
      </c>
      <c r="N140" s="14">
        <v>263</v>
      </c>
      <c r="O140" s="20">
        <f t="shared" si="10"/>
        <v>0.106011019283747</v>
      </c>
      <c r="P140" s="20">
        <f t="shared" si="13"/>
        <v>1.4931129476584</v>
      </c>
      <c r="Q140" s="20">
        <f t="shared" si="14"/>
        <v>0.0140719936708861</v>
      </c>
      <c r="R140" s="20">
        <f t="shared" si="11"/>
        <v>2.21518987341772</v>
      </c>
      <c r="S140" s="23">
        <v>3</v>
      </c>
      <c r="T140" s="14">
        <v>1</v>
      </c>
      <c r="U140" s="14">
        <v>2</v>
      </c>
      <c r="V140" s="14">
        <v>0</v>
      </c>
      <c r="W140" s="14">
        <v>0</v>
      </c>
      <c r="X140" s="14">
        <v>3</v>
      </c>
      <c r="Y140" s="14">
        <v>2</v>
      </c>
      <c r="Z140" s="14">
        <v>0</v>
      </c>
      <c r="AA140" s="20">
        <v>1.024</v>
      </c>
      <c r="AB140" s="1">
        <v>8.4</v>
      </c>
      <c r="AC140" s="1">
        <v>147</v>
      </c>
      <c r="AD140" s="1">
        <v>7.72</v>
      </c>
      <c r="AE140" s="7">
        <v>0.436</v>
      </c>
      <c r="AF140" s="8">
        <v>91.4</v>
      </c>
      <c r="AG140" s="1">
        <v>337</v>
      </c>
      <c r="AH140" s="8">
        <v>11.4</v>
      </c>
      <c r="AI140" s="8">
        <v>36.2</v>
      </c>
      <c r="AJ140" s="9">
        <v>2.8</v>
      </c>
      <c r="AK140" s="8">
        <v>42.5</v>
      </c>
      <c r="AL140" s="8">
        <v>7.5</v>
      </c>
      <c r="AM140" s="8">
        <v>2.7</v>
      </c>
      <c r="AN140" s="9">
        <v>12.2</v>
      </c>
      <c r="AO140" s="8">
        <v>34.5</v>
      </c>
      <c r="AP140" s="9">
        <v>4.67</v>
      </c>
      <c r="AQ140" s="1">
        <v>6.65</v>
      </c>
      <c r="AR140" s="8">
        <v>85.8</v>
      </c>
      <c r="AS140" s="8">
        <v>275.3</v>
      </c>
      <c r="AT140" s="9">
        <v>3.85</v>
      </c>
      <c r="AU140" s="9">
        <v>1.71</v>
      </c>
      <c r="AV140" s="9">
        <v>2.25</v>
      </c>
      <c r="AW140" s="9">
        <v>0.91</v>
      </c>
      <c r="AX140" s="9">
        <v>3.77</v>
      </c>
      <c r="AY140" s="8">
        <v>141.9</v>
      </c>
      <c r="AZ140" s="8">
        <v>21.1</v>
      </c>
      <c r="BA140" s="9">
        <v>0.96</v>
      </c>
      <c r="BB140" s="9">
        <v>2.49</v>
      </c>
      <c r="BC140" s="8">
        <v>185</v>
      </c>
      <c r="BD140" s="10">
        <v>2679</v>
      </c>
      <c r="BE140" s="10">
        <v>0</v>
      </c>
    </row>
    <row r="141" ht="15.6" spans="1:57">
      <c r="A141" s="14">
        <v>140</v>
      </c>
      <c r="B141" s="14" t="s">
        <v>194</v>
      </c>
      <c r="C141" s="15">
        <v>1</v>
      </c>
      <c r="D141" s="14">
        <v>1</v>
      </c>
      <c r="E141" s="14">
        <v>37</v>
      </c>
      <c r="F141" s="14">
        <v>0</v>
      </c>
      <c r="G141" s="14">
        <v>0</v>
      </c>
      <c r="H141" s="14">
        <v>179</v>
      </c>
      <c r="I141" s="14">
        <v>57</v>
      </c>
      <c r="J141" s="19">
        <f t="shared" si="12"/>
        <v>17.7897069379857</v>
      </c>
      <c r="K141" s="14">
        <v>0.644</v>
      </c>
      <c r="L141" s="14">
        <v>0.252</v>
      </c>
      <c r="M141" s="14">
        <v>0.087</v>
      </c>
      <c r="N141" s="14">
        <v>252</v>
      </c>
      <c r="O141" s="20">
        <f t="shared" si="10"/>
        <v>0.222333333333333</v>
      </c>
      <c r="P141" s="20">
        <f t="shared" si="13"/>
        <v>2.55555555555556</v>
      </c>
      <c r="Q141" s="20">
        <f t="shared" si="14"/>
        <v>0.0141654947368421</v>
      </c>
      <c r="R141" s="20">
        <f t="shared" si="11"/>
        <v>3.14035087719298</v>
      </c>
      <c r="S141" s="23">
        <v>1</v>
      </c>
      <c r="T141" s="14">
        <v>2</v>
      </c>
      <c r="U141" s="14">
        <v>3</v>
      </c>
      <c r="V141" s="14">
        <v>0</v>
      </c>
      <c r="W141" s="14">
        <v>0</v>
      </c>
      <c r="X141" s="14">
        <v>1</v>
      </c>
      <c r="Y141" s="14">
        <v>3</v>
      </c>
      <c r="Z141" s="14">
        <v>1</v>
      </c>
      <c r="AA141" s="20">
        <v>1.018</v>
      </c>
      <c r="AB141" s="1">
        <v>3.3</v>
      </c>
      <c r="AC141" s="1">
        <v>143</v>
      </c>
      <c r="AD141" s="1">
        <v>6.44</v>
      </c>
      <c r="AE141" s="7">
        <v>0.411</v>
      </c>
      <c r="AF141" s="8">
        <v>86.5</v>
      </c>
      <c r="AG141" s="1">
        <v>348</v>
      </c>
      <c r="AH141" s="8">
        <v>9.8</v>
      </c>
      <c r="AI141" s="8">
        <v>36.8</v>
      </c>
      <c r="AJ141" s="9">
        <v>2.55</v>
      </c>
      <c r="AK141" s="8">
        <v>42.4</v>
      </c>
      <c r="AL141" s="8">
        <v>12.4</v>
      </c>
      <c r="AM141" s="8">
        <v>3.4</v>
      </c>
      <c r="AN141" s="9">
        <v>18</v>
      </c>
      <c r="AO141" s="8">
        <v>15.5</v>
      </c>
      <c r="AP141" s="9">
        <v>4.38</v>
      </c>
      <c r="AQ141" s="1">
        <v>4.78</v>
      </c>
      <c r="AR141" s="8">
        <v>72.5</v>
      </c>
      <c r="AS141" s="8">
        <v>347.7</v>
      </c>
      <c r="AT141" s="9">
        <v>3.92</v>
      </c>
      <c r="AU141" s="9">
        <v>0.83</v>
      </c>
      <c r="AV141" s="9">
        <v>2.28</v>
      </c>
      <c r="AW141" s="9">
        <v>1.28</v>
      </c>
      <c r="AX141" s="9">
        <v>4.39</v>
      </c>
      <c r="AY141" s="8">
        <v>141.9</v>
      </c>
      <c r="AZ141" s="8">
        <v>25.6</v>
      </c>
      <c r="BA141" s="9">
        <v>1.02</v>
      </c>
      <c r="BB141" s="9">
        <v>2.59</v>
      </c>
      <c r="BC141" s="8">
        <v>173</v>
      </c>
      <c r="BD141" s="10">
        <v>1694</v>
      </c>
      <c r="BE141" s="10">
        <v>1</v>
      </c>
    </row>
    <row r="142" ht="15.6" spans="1:57">
      <c r="A142" s="14">
        <v>141</v>
      </c>
      <c r="B142" s="14" t="s">
        <v>195</v>
      </c>
      <c r="C142" s="15">
        <v>0</v>
      </c>
      <c r="D142" s="14">
        <v>1</v>
      </c>
      <c r="E142" s="14">
        <v>55</v>
      </c>
      <c r="F142" s="14">
        <v>1</v>
      </c>
      <c r="G142" s="14">
        <v>1</v>
      </c>
      <c r="H142" s="14">
        <v>165</v>
      </c>
      <c r="I142" s="14">
        <v>76</v>
      </c>
      <c r="J142" s="19">
        <f t="shared" si="12"/>
        <v>27.9155188246097</v>
      </c>
      <c r="K142" s="14">
        <v>0.609</v>
      </c>
      <c r="L142" s="14">
        <v>0.318</v>
      </c>
      <c r="M142" s="14">
        <v>0.05</v>
      </c>
      <c r="N142" s="14">
        <v>151</v>
      </c>
      <c r="O142" s="20">
        <f t="shared" si="10"/>
        <v>0.0957547169811321</v>
      </c>
      <c r="P142" s="20">
        <f t="shared" si="13"/>
        <v>1.91509433962264</v>
      </c>
      <c r="Q142" s="20">
        <f t="shared" si="14"/>
        <v>0.0113915131578947</v>
      </c>
      <c r="R142" s="20">
        <f t="shared" si="11"/>
        <v>2.17105263157895</v>
      </c>
      <c r="S142" s="23">
        <v>2</v>
      </c>
      <c r="T142" s="14">
        <v>1</v>
      </c>
      <c r="U142" s="14">
        <v>2</v>
      </c>
      <c r="V142" s="14">
        <v>0</v>
      </c>
      <c r="W142" s="14">
        <v>0</v>
      </c>
      <c r="X142" s="14">
        <v>3</v>
      </c>
      <c r="Y142" s="14">
        <v>2</v>
      </c>
      <c r="Z142" s="1">
        <v>0</v>
      </c>
      <c r="AA142" s="20">
        <v>1.022</v>
      </c>
      <c r="AB142" s="1">
        <v>1.4</v>
      </c>
      <c r="AC142" s="1">
        <v>146</v>
      </c>
      <c r="AD142" s="1">
        <v>5.16</v>
      </c>
      <c r="AE142" s="7">
        <v>0.424</v>
      </c>
      <c r="AF142" s="8">
        <v>88.1</v>
      </c>
      <c r="AG142" s="1">
        <v>344</v>
      </c>
      <c r="AH142" s="8">
        <v>12.5</v>
      </c>
      <c r="AI142" s="8">
        <v>36</v>
      </c>
      <c r="AJ142" s="9">
        <v>3.12</v>
      </c>
      <c r="AK142" s="8">
        <v>43.4</v>
      </c>
      <c r="AL142" s="8">
        <v>11.4</v>
      </c>
      <c r="AM142" s="8">
        <v>3.2</v>
      </c>
      <c r="AN142" s="9">
        <v>11.7</v>
      </c>
      <c r="AO142" s="8">
        <v>30.2</v>
      </c>
      <c r="AP142" s="9">
        <v>6.56</v>
      </c>
      <c r="AQ142" s="1">
        <v>5.48</v>
      </c>
      <c r="AR142" s="8">
        <v>80.1</v>
      </c>
      <c r="AS142" s="8">
        <v>383.4</v>
      </c>
      <c r="AT142" s="9">
        <v>5.18</v>
      </c>
      <c r="AU142" s="9">
        <v>1.77</v>
      </c>
      <c r="AV142" s="9">
        <v>2.47</v>
      </c>
      <c r="AW142" s="9">
        <v>0.88</v>
      </c>
      <c r="AX142" s="9">
        <v>4.24</v>
      </c>
      <c r="AY142" s="8">
        <v>141.6</v>
      </c>
      <c r="AZ142" s="8">
        <v>22.4</v>
      </c>
      <c r="BA142" s="9">
        <v>1.03</v>
      </c>
      <c r="BB142" s="9">
        <v>3.44</v>
      </c>
      <c r="BC142" s="8">
        <v>240</v>
      </c>
      <c r="BD142" s="10">
        <v>2678</v>
      </c>
      <c r="BE142" s="10">
        <v>0</v>
      </c>
    </row>
    <row r="143" ht="15.6" spans="1:57">
      <c r="A143" s="14">
        <v>142</v>
      </c>
      <c r="B143" s="14" t="s">
        <v>196</v>
      </c>
      <c r="C143" s="15">
        <v>1</v>
      </c>
      <c r="D143" s="14">
        <v>1</v>
      </c>
      <c r="E143" s="14">
        <v>55</v>
      </c>
      <c r="F143" s="14">
        <v>0</v>
      </c>
      <c r="G143" s="14">
        <v>0</v>
      </c>
      <c r="H143" s="14">
        <v>172</v>
      </c>
      <c r="I143" s="14">
        <v>64</v>
      </c>
      <c r="J143" s="19">
        <f t="shared" si="12"/>
        <v>21.6333153055706</v>
      </c>
      <c r="K143" s="14">
        <v>0.496</v>
      </c>
      <c r="L143" s="14">
        <v>0.353</v>
      </c>
      <c r="M143" s="14">
        <v>0.103</v>
      </c>
      <c r="N143" s="14">
        <v>248</v>
      </c>
      <c r="O143" s="20">
        <f t="shared" si="10"/>
        <v>0.144725212464589</v>
      </c>
      <c r="P143" s="20">
        <f t="shared" si="13"/>
        <v>1.40509915014164</v>
      </c>
      <c r="Q143" s="20">
        <f t="shared" si="14"/>
        <v>0.016317425</v>
      </c>
      <c r="R143" s="20">
        <f t="shared" si="11"/>
        <v>2.6875</v>
      </c>
      <c r="S143" s="23">
        <v>4</v>
      </c>
      <c r="T143" s="14">
        <v>2</v>
      </c>
      <c r="U143" s="14">
        <v>1</v>
      </c>
      <c r="V143" s="14">
        <v>2</v>
      </c>
      <c r="W143" s="14">
        <v>1</v>
      </c>
      <c r="X143" s="14">
        <v>2</v>
      </c>
      <c r="Y143" s="14">
        <v>4</v>
      </c>
      <c r="Z143" s="14">
        <v>0</v>
      </c>
      <c r="AA143" s="20">
        <v>1.015</v>
      </c>
      <c r="AB143" s="1">
        <v>12.9</v>
      </c>
      <c r="AC143" s="1">
        <v>152</v>
      </c>
      <c r="AD143" s="1">
        <v>7.51</v>
      </c>
      <c r="AE143" s="7">
        <v>0.43</v>
      </c>
      <c r="AF143" s="8">
        <v>93.3</v>
      </c>
      <c r="AG143" s="1">
        <v>353</v>
      </c>
      <c r="AH143" s="8">
        <v>9.6</v>
      </c>
      <c r="AI143" s="8">
        <v>40.2</v>
      </c>
      <c r="AJ143" s="9">
        <v>2.3</v>
      </c>
      <c r="AK143" s="8">
        <v>40.1</v>
      </c>
      <c r="AL143" s="8">
        <v>13.7</v>
      </c>
      <c r="AM143" s="8">
        <v>4</v>
      </c>
      <c r="AN143" s="9">
        <v>24</v>
      </c>
      <c r="AO143" s="8">
        <v>28.8</v>
      </c>
      <c r="AP143" s="9">
        <v>4.04</v>
      </c>
      <c r="AQ143" s="1">
        <v>3.16</v>
      </c>
      <c r="AR143" s="8">
        <v>77.3</v>
      </c>
      <c r="AS143" s="8">
        <v>436.4</v>
      </c>
      <c r="AT143" s="9">
        <v>3.97</v>
      </c>
      <c r="AU143" s="9">
        <v>0.9</v>
      </c>
      <c r="AV143" s="9">
        <v>2.18</v>
      </c>
      <c r="AW143" s="9">
        <v>1.04</v>
      </c>
      <c r="AX143" s="9">
        <v>4.25</v>
      </c>
      <c r="AY143" s="8">
        <v>143</v>
      </c>
      <c r="AZ143" s="8">
        <v>23.4</v>
      </c>
      <c r="BA143" s="9">
        <v>1.18</v>
      </c>
      <c r="BB143" s="9">
        <v>2.49</v>
      </c>
      <c r="BC143" s="8">
        <v>169</v>
      </c>
      <c r="BD143" s="10">
        <v>1521</v>
      </c>
      <c r="BE143" s="10">
        <v>1</v>
      </c>
    </row>
    <row r="144" ht="15.6" spans="1:57">
      <c r="A144" s="14">
        <v>143</v>
      </c>
      <c r="B144" s="14" t="s">
        <v>197</v>
      </c>
      <c r="C144" s="15">
        <v>1</v>
      </c>
      <c r="D144" s="14">
        <v>1</v>
      </c>
      <c r="E144" s="14">
        <v>75</v>
      </c>
      <c r="F144" s="14">
        <v>0</v>
      </c>
      <c r="G144" s="14">
        <v>0</v>
      </c>
      <c r="H144" s="14">
        <v>170</v>
      </c>
      <c r="I144" s="14">
        <v>54</v>
      </c>
      <c r="J144" s="19">
        <f t="shared" si="12"/>
        <v>18.6851211072664</v>
      </c>
      <c r="K144" s="14">
        <v>0.493</v>
      </c>
      <c r="L144" s="14">
        <v>0.383</v>
      </c>
      <c r="M144" s="14">
        <v>0.054</v>
      </c>
      <c r="N144" s="14">
        <v>159</v>
      </c>
      <c r="O144" s="20">
        <f t="shared" si="10"/>
        <v>0.069509138381201</v>
      </c>
      <c r="P144" s="20">
        <f t="shared" si="13"/>
        <v>1.28720626631854</v>
      </c>
      <c r="Q144" s="20">
        <f t="shared" si="14"/>
        <v>0.0204975925925926</v>
      </c>
      <c r="R144" s="20">
        <f t="shared" si="11"/>
        <v>3.14814814814815</v>
      </c>
      <c r="S144" s="23">
        <v>1</v>
      </c>
      <c r="T144" s="14">
        <v>1</v>
      </c>
      <c r="U144" s="14">
        <v>2</v>
      </c>
      <c r="V144" s="14">
        <v>1</v>
      </c>
      <c r="W144" s="14">
        <v>1</v>
      </c>
      <c r="X144" s="14">
        <v>2</v>
      </c>
      <c r="Y144" s="14">
        <v>4</v>
      </c>
      <c r="Z144" s="14">
        <v>0</v>
      </c>
      <c r="AA144" s="20">
        <v>1.014</v>
      </c>
      <c r="AB144" s="1">
        <v>11.9</v>
      </c>
      <c r="AC144" s="1">
        <v>130</v>
      </c>
      <c r="AD144" s="1">
        <v>5.15</v>
      </c>
      <c r="AE144" s="7">
        <v>0.363</v>
      </c>
      <c r="AF144" s="8">
        <v>111.3</v>
      </c>
      <c r="AG144" s="1">
        <v>358</v>
      </c>
      <c r="AH144" s="8">
        <v>10.9</v>
      </c>
      <c r="AI144" s="8">
        <v>38.9</v>
      </c>
      <c r="AJ144" s="9">
        <v>2.6</v>
      </c>
      <c r="AK144" s="8">
        <v>41.2</v>
      </c>
      <c r="AL144" s="8">
        <v>23.3</v>
      </c>
      <c r="AM144" s="8">
        <v>9.4</v>
      </c>
      <c r="AN144" s="9">
        <v>45.9</v>
      </c>
      <c r="AO144" s="8">
        <v>18.8</v>
      </c>
      <c r="AP144" s="9">
        <v>4.59</v>
      </c>
      <c r="AQ144" s="1">
        <v>6.54</v>
      </c>
      <c r="AR144" s="8">
        <v>65.9</v>
      </c>
      <c r="AS144" s="8">
        <v>316.8</v>
      </c>
      <c r="AT144" s="9">
        <v>2.98</v>
      </c>
      <c r="AU144" s="9">
        <v>0.69</v>
      </c>
      <c r="AV144" s="9">
        <v>2.08</v>
      </c>
      <c r="AW144" s="9">
        <v>1.06</v>
      </c>
      <c r="AX144" s="9">
        <v>4.08</v>
      </c>
      <c r="AY144" s="8">
        <v>137.2</v>
      </c>
      <c r="AZ144" s="8">
        <v>23</v>
      </c>
      <c r="BA144" s="9">
        <v>1.16</v>
      </c>
      <c r="BB144" s="9">
        <v>1.58</v>
      </c>
      <c r="BC144" s="8">
        <v>175</v>
      </c>
      <c r="BD144" s="10">
        <v>1002</v>
      </c>
      <c r="BE144" s="10">
        <v>1</v>
      </c>
    </row>
    <row r="145" ht="15.6" spans="1:57">
      <c r="A145" s="14">
        <v>144</v>
      </c>
      <c r="B145" s="14" t="s">
        <v>198</v>
      </c>
      <c r="C145" s="15">
        <v>0</v>
      </c>
      <c r="D145" s="14">
        <v>1</v>
      </c>
      <c r="E145" s="14">
        <v>64</v>
      </c>
      <c r="F145" s="14">
        <v>0</v>
      </c>
      <c r="G145" s="14">
        <v>0</v>
      </c>
      <c r="H145" s="14">
        <v>180</v>
      </c>
      <c r="I145" s="14">
        <v>72</v>
      </c>
      <c r="J145" s="19">
        <f t="shared" si="12"/>
        <v>22.2222222222222</v>
      </c>
      <c r="K145" s="14">
        <v>0.581</v>
      </c>
      <c r="L145" s="14">
        <v>0.338</v>
      </c>
      <c r="M145" s="14">
        <v>0.066</v>
      </c>
      <c r="N145" s="14">
        <v>347</v>
      </c>
      <c r="O145" s="20">
        <f t="shared" si="10"/>
        <v>0.113449704142012</v>
      </c>
      <c r="P145" s="20">
        <f t="shared" si="13"/>
        <v>1.7189349112426</v>
      </c>
      <c r="Q145" s="20">
        <f t="shared" si="14"/>
        <v>0.01521</v>
      </c>
      <c r="R145" s="20">
        <f t="shared" si="11"/>
        <v>2.5</v>
      </c>
      <c r="S145" s="23">
        <v>1</v>
      </c>
      <c r="T145" s="14">
        <v>2</v>
      </c>
      <c r="U145" s="14">
        <v>3</v>
      </c>
      <c r="V145" s="14">
        <v>0</v>
      </c>
      <c r="W145" s="14">
        <v>0</v>
      </c>
      <c r="X145" s="14">
        <v>3</v>
      </c>
      <c r="Y145" s="14">
        <v>3</v>
      </c>
      <c r="Z145" s="14">
        <v>1</v>
      </c>
      <c r="AA145" s="20">
        <v>1.016</v>
      </c>
      <c r="AB145" s="1">
        <v>4.6</v>
      </c>
      <c r="AC145" s="1">
        <v>162</v>
      </c>
      <c r="AD145" s="1">
        <v>4.53</v>
      </c>
      <c r="AE145" s="7">
        <v>0.477</v>
      </c>
      <c r="AF145" s="8">
        <v>90.3</v>
      </c>
      <c r="AG145" s="1">
        <v>340</v>
      </c>
      <c r="AH145" s="8">
        <v>9</v>
      </c>
      <c r="AI145" s="8">
        <v>43.7</v>
      </c>
      <c r="AJ145" s="9">
        <v>4.16</v>
      </c>
      <c r="AK145" s="8">
        <v>37.2</v>
      </c>
      <c r="AL145" s="8">
        <v>14.8</v>
      </c>
      <c r="AM145" s="8">
        <v>4.3</v>
      </c>
      <c r="AN145" s="9">
        <v>11.8</v>
      </c>
      <c r="AO145" s="8">
        <v>72.4</v>
      </c>
      <c r="AP145" s="9">
        <v>4.36</v>
      </c>
      <c r="AQ145" s="1">
        <v>4.02</v>
      </c>
      <c r="AR145" s="8">
        <v>78.4</v>
      </c>
      <c r="AS145" s="8">
        <v>251</v>
      </c>
      <c r="AT145" s="9">
        <v>4.74</v>
      </c>
      <c r="AU145" s="9">
        <v>1.15</v>
      </c>
      <c r="AV145" s="9">
        <v>2.18</v>
      </c>
      <c r="AW145" s="9">
        <v>1.08</v>
      </c>
      <c r="AX145" s="9">
        <v>4.5</v>
      </c>
      <c r="AY145" s="8">
        <v>141.9</v>
      </c>
      <c r="AZ145" s="8">
        <v>30.5</v>
      </c>
      <c r="BA145" s="9">
        <v>0.91</v>
      </c>
      <c r="BB145" s="9">
        <v>3.27</v>
      </c>
      <c r="BC145" s="8">
        <v>143</v>
      </c>
      <c r="BD145" s="10">
        <v>1661</v>
      </c>
      <c r="BE145" s="10">
        <v>0</v>
      </c>
    </row>
    <row r="146" ht="15.6" spans="1:57">
      <c r="A146" s="14">
        <v>145</v>
      </c>
      <c r="B146" s="14" t="s">
        <v>199</v>
      </c>
      <c r="C146" s="15">
        <v>1</v>
      </c>
      <c r="D146" s="14">
        <v>1</v>
      </c>
      <c r="E146" s="14">
        <v>59</v>
      </c>
      <c r="F146" s="14">
        <v>0</v>
      </c>
      <c r="G146" s="14">
        <v>0</v>
      </c>
      <c r="H146" s="14">
        <v>172</v>
      </c>
      <c r="I146" s="14">
        <v>65</v>
      </c>
      <c r="J146" s="19">
        <f t="shared" si="12"/>
        <v>21.9713358572201</v>
      </c>
      <c r="K146" s="14">
        <v>0.584</v>
      </c>
      <c r="L146" s="14">
        <v>0.284</v>
      </c>
      <c r="M146" s="14">
        <v>0.1</v>
      </c>
      <c r="N146" s="14">
        <v>252</v>
      </c>
      <c r="O146" s="20">
        <f t="shared" si="10"/>
        <v>0.205633802816901</v>
      </c>
      <c r="P146" s="20">
        <f t="shared" si="13"/>
        <v>2.05633802816901</v>
      </c>
      <c r="Q146" s="20">
        <f t="shared" si="14"/>
        <v>0.0129259323076923</v>
      </c>
      <c r="R146" s="20">
        <f t="shared" si="11"/>
        <v>2.64615384615385</v>
      </c>
      <c r="S146" s="23">
        <v>1</v>
      </c>
      <c r="T146" s="14">
        <v>1</v>
      </c>
      <c r="U146" s="14">
        <v>3</v>
      </c>
      <c r="V146" s="14">
        <v>1</v>
      </c>
      <c r="W146" s="14">
        <v>1</v>
      </c>
      <c r="X146" s="14">
        <v>1</v>
      </c>
      <c r="Y146" s="14">
        <v>4</v>
      </c>
      <c r="Z146" s="14">
        <v>1</v>
      </c>
      <c r="AA146" s="20">
        <v>1.015</v>
      </c>
      <c r="AB146" s="1">
        <v>5.1</v>
      </c>
      <c r="AC146" s="1">
        <v>122</v>
      </c>
      <c r="AD146" s="1">
        <v>6.3</v>
      </c>
      <c r="AE146" s="7">
        <v>0.349</v>
      </c>
      <c r="AF146" s="8">
        <v>103.3</v>
      </c>
      <c r="AG146" s="1">
        <v>350</v>
      </c>
      <c r="AH146" s="8">
        <v>10.4</v>
      </c>
      <c r="AI146" s="8">
        <v>40.3</v>
      </c>
      <c r="AJ146" s="9">
        <v>3.55</v>
      </c>
      <c r="AK146" s="8">
        <v>35.6</v>
      </c>
      <c r="AL146" s="8">
        <v>6.9</v>
      </c>
      <c r="AM146" s="8">
        <v>1.8</v>
      </c>
      <c r="AN146" s="9">
        <v>10.9</v>
      </c>
      <c r="AO146" s="8">
        <v>16.7</v>
      </c>
      <c r="AP146" s="9">
        <v>4.16</v>
      </c>
      <c r="AQ146" s="1">
        <v>5.07</v>
      </c>
      <c r="AR146" s="8">
        <v>70.2</v>
      </c>
      <c r="AS146" s="8">
        <v>240.3</v>
      </c>
      <c r="AT146" s="9">
        <v>4.6</v>
      </c>
      <c r="AU146" s="9">
        <v>1.06</v>
      </c>
      <c r="AV146" s="9">
        <v>2.15</v>
      </c>
      <c r="AW146" s="9">
        <v>1.26</v>
      </c>
      <c r="AX146" s="9">
        <v>3.85</v>
      </c>
      <c r="AY146" s="8">
        <v>143.2</v>
      </c>
      <c r="AZ146" s="8">
        <v>22.9</v>
      </c>
      <c r="BA146" s="9">
        <v>1.19</v>
      </c>
      <c r="BB146" s="9">
        <v>2.89</v>
      </c>
      <c r="BC146" s="8">
        <v>148</v>
      </c>
      <c r="BD146" s="10">
        <v>1802</v>
      </c>
      <c r="BE146" s="10">
        <v>1</v>
      </c>
    </row>
    <row r="147" ht="15.6" spans="1:57">
      <c r="A147" s="14">
        <v>146</v>
      </c>
      <c r="B147" s="14" t="s">
        <v>200</v>
      </c>
      <c r="C147" s="15">
        <v>0</v>
      </c>
      <c r="D147" s="14">
        <v>2</v>
      </c>
      <c r="E147" s="14">
        <v>54</v>
      </c>
      <c r="F147" s="14">
        <v>0</v>
      </c>
      <c r="G147" s="14">
        <v>0</v>
      </c>
      <c r="H147" s="14">
        <v>155</v>
      </c>
      <c r="I147" s="14">
        <v>50</v>
      </c>
      <c r="J147" s="19">
        <f t="shared" si="12"/>
        <v>20.8116545265349</v>
      </c>
      <c r="K147" s="14">
        <v>0.624</v>
      </c>
      <c r="L147" s="14">
        <v>0.279</v>
      </c>
      <c r="M147" s="14">
        <v>0.072</v>
      </c>
      <c r="N147" s="14">
        <v>222</v>
      </c>
      <c r="O147" s="20">
        <f t="shared" si="10"/>
        <v>0.161032258064516</v>
      </c>
      <c r="P147" s="20">
        <f t="shared" si="13"/>
        <v>2.23655913978495</v>
      </c>
      <c r="Q147" s="20">
        <f t="shared" si="14"/>
        <v>0.01340595</v>
      </c>
      <c r="R147" s="20">
        <f t="shared" si="11"/>
        <v>3.1</v>
      </c>
      <c r="S147" s="23">
        <v>1</v>
      </c>
      <c r="T147" s="14">
        <v>1</v>
      </c>
      <c r="U147" s="14">
        <v>1</v>
      </c>
      <c r="V147" s="14">
        <v>0</v>
      </c>
      <c r="W147" s="14">
        <v>0</v>
      </c>
      <c r="X147" s="14">
        <v>2</v>
      </c>
      <c r="Y147" s="14">
        <v>1</v>
      </c>
      <c r="Z147" s="1">
        <v>0</v>
      </c>
      <c r="AA147" s="20">
        <v>1.011</v>
      </c>
      <c r="AB147" s="8">
        <v>1</v>
      </c>
      <c r="AC147" s="1">
        <v>138</v>
      </c>
      <c r="AD147" s="1">
        <v>8.73</v>
      </c>
      <c r="AE147" s="7">
        <v>0.418</v>
      </c>
      <c r="AF147" s="8">
        <v>88.9</v>
      </c>
      <c r="AG147" s="1">
        <v>330</v>
      </c>
      <c r="AH147" s="8">
        <v>10.8</v>
      </c>
      <c r="AI147" s="8">
        <v>40.7</v>
      </c>
      <c r="AJ147" s="9">
        <v>3.8</v>
      </c>
      <c r="AK147" s="8">
        <v>41</v>
      </c>
      <c r="AL147" s="8">
        <v>5.3</v>
      </c>
      <c r="AM147" s="8">
        <v>1.3</v>
      </c>
      <c r="AN147" s="9">
        <v>8.3</v>
      </c>
      <c r="AO147" s="8">
        <v>24</v>
      </c>
      <c r="AP147" s="9">
        <v>5.3</v>
      </c>
      <c r="AQ147" s="1">
        <v>7.01</v>
      </c>
      <c r="AR147" s="8">
        <v>62.3</v>
      </c>
      <c r="AS147" s="8">
        <v>359.1</v>
      </c>
      <c r="AT147" s="9">
        <v>5.54</v>
      </c>
      <c r="AU147" s="9">
        <v>2.7</v>
      </c>
      <c r="AV147" s="9">
        <v>2.29</v>
      </c>
      <c r="AW147" s="9">
        <v>1.3</v>
      </c>
      <c r="AX147" s="9">
        <v>4.62</v>
      </c>
      <c r="AY147" s="8">
        <v>143.3</v>
      </c>
      <c r="AZ147" s="8">
        <v>23.2</v>
      </c>
      <c r="BA147" s="9">
        <v>1</v>
      </c>
      <c r="BB147" s="9">
        <v>3.88</v>
      </c>
      <c r="BC147" s="8">
        <v>136.5</v>
      </c>
      <c r="BD147" s="10">
        <v>1582</v>
      </c>
      <c r="BE147" s="10">
        <v>0</v>
      </c>
    </row>
    <row r="148" ht="15.6" spans="1:57">
      <c r="A148" s="14">
        <v>147</v>
      </c>
      <c r="B148" s="14" t="s">
        <v>201</v>
      </c>
      <c r="C148" s="15">
        <v>0</v>
      </c>
      <c r="D148" s="14">
        <v>1</v>
      </c>
      <c r="E148" s="14">
        <v>61</v>
      </c>
      <c r="F148" s="14">
        <v>0</v>
      </c>
      <c r="G148" s="14">
        <v>0</v>
      </c>
      <c r="H148" s="14">
        <v>169</v>
      </c>
      <c r="I148" s="14">
        <v>78</v>
      </c>
      <c r="J148" s="19">
        <f t="shared" si="12"/>
        <v>27.3099681383705</v>
      </c>
      <c r="K148" s="14">
        <v>0.487</v>
      </c>
      <c r="L148" s="14">
        <v>0.409</v>
      </c>
      <c r="M148" s="14">
        <v>0.088</v>
      </c>
      <c r="N148" s="14">
        <v>219</v>
      </c>
      <c r="O148" s="20">
        <f t="shared" si="10"/>
        <v>0.10478239608802</v>
      </c>
      <c r="P148" s="20">
        <f t="shared" si="13"/>
        <v>1.19070904645477</v>
      </c>
      <c r="Q148" s="20">
        <f t="shared" si="14"/>
        <v>0.0149762166666667</v>
      </c>
      <c r="R148" s="20">
        <f t="shared" si="11"/>
        <v>2.16666666666667</v>
      </c>
      <c r="S148" s="23">
        <v>1</v>
      </c>
      <c r="T148" s="14">
        <v>2</v>
      </c>
      <c r="U148" s="14">
        <v>2</v>
      </c>
      <c r="V148" s="14">
        <v>1</v>
      </c>
      <c r="W148" s="14">
        <v>1</v>
      </c>
      <c r="X148" s="14">
        <v>3</v>
      </c>
      <c r="Y148" s="14">
        <v>4</v>
      </c>
      <c r="Z148" s="1">
        <v>0</v>
      </c>
      <c r="AA148" s="20">
        <v>1.015</v>
      </c>
      <c r="AB148" s="8">
        <v>2</v>
      </c>
      <c r="AC148" s="1">
        <v>132</v>
      </c>
      <c r="AD148" s="1">
        <v>6.8</v>
      </c>
      <c r="AE148" s="7">
        <v>0.4</v>
      </c>
      <c r="AF148" s="8">
        <v>93.2</v>
      </c>
      <c r="AG148" s="1">
        <v>330</v>
      </c>
      <c r="AH148" s="8">
        <v>9.1</v>
      </c>
      <c r="AI148" s="8">
        <v>34.3</v>
      </c>
      <c r="AJ148" s="9">
        <v>4.3</v>
      </c>
      <c r="AK148" s="8">
        <v>36.4</v>
      </c>
      <c r="AL148" s="8">
        <v>10.8</v>
      </c>
      <c r="AM148" s="8">
        <v>3.4</v>
      </c>
      <c r="AN148" s="9">
        <v>9.1</v>
      </c>
      <c r="AO148" s="8">
        <v>28.3</v>
      </c>
      <c r="AP148" s="9">
        <v>4.56</v>
      </c>
      <c r="AQ148" s="1">
        <v>5.68</v>
      </c>
      <c r="AR148" s="8">
        <v>82.7</v>
      </c>
      <c r="AS148" s="8">
        <v>407</v>
      </c>
      <c r="AT148" s="9">
        <v>3.84</v>
      </c>
      <c r="AU148" s="9">
        <v>1.02</v>
      </c>
      <c r="AV148" s="9">
        <v>2.29</v>
      </c>
      <c r="AW148" s="9">
        <v>1.12</v>
      </c>
      <c r="AX148" s="9">
        <v>4.16</v>
      </c>
      <c r="AY148" s="8">
        <v>144.4</v>
      </c>
      <c r="AZ148" s="8">
        <v>25.5</v>
      </c>
      <c r="BA148" s="9">
        <v>1.63</v>
      </c>
      <c r="BB148" s="9">
        <v>1.92</v>
      </c>
      <c r="BC148" s="8">
        <v>137.4</v>
      </c>
      <c r="BD148" s="10">
        <v>1564</v>
      </c>
      <c r="BE148" s="10">
        <v>0</v>
      </c>
    </row>
    <row r="149" ht="15.6" spans="1:57">
      <c r="A149" s="14">
        <v>148</v>
      </c>
      <c r="B149" s="14" t="s">
        <v>202</v>
      </c>
      <c r="C149" s="15">
        <v>1</v>
      </c>
      <c r="D149" s="14">
        <v>1</v>
      </c>
      <c r="E149" s="14">
        <v>53</v>
      </c>
      <c r="F149" s="14">
        <v>0</v>
      </c>
      <c r="G149" s="14">
        <v>0</v>
      </c>
      <c r="H149" s="14">
        <v>172</v>
      </c>
      <c r="I149" s="14">
        <v>70</v>
      </c>
      <c r="J149" s="19">
        <f t="shared" si="12"/>
        <v>23.6614386154678</v>
      </c>
      <c r="K149" s="20">
        <v>0.62</v>
      </c>
      <c r="L149" s="14">
        <v>0.244</v>
      </c>
      <c r="M149" s="20">
        <v>0.09</v>
      </c>
      <c r="N149" s="14">
        <v>199</v>
      </c>
      <c r="O149" s="20">
        <f t="shared" si="10"/>
        <v>0.228688524590164</v>
      </c>
      <c r="P149" s="20">
        <f t="shared" si="13"/>
        <v>2.54098360655738</v>
      </c>
      <c r="Q149" s="20">
        <f t="shared" si="14"/>
        <v>0.0103121371428571</v>
      </c>
      <c r="R149" s="20">
        <f t="shared" si="11"/>
        <v>2.45714285714286</v>
      </c>
      <c r="S149" s="23">
        <v>1</v>
      </c>
      <c r="T149" s="14">
        <v>1</v>
      </c>
      <c r="U149" s="14">
        <v>1</v>
      </c>
      <c r="V149" s="14">
        <v>0</v>
      </c>
      <c r="W149" s="14">
        <v>0</v>
      </c>
      <c r="X149" s="14">
        <v>2</v>
      </c>
      <c r="Y149" s="14">
        <v>1</v>
      </c>
      <c r="Z149" s="14">
        <v>0</v>
      </c>
      <c r="AA149" s="20">
        <v>1.028</v>
      </c>
      <c r="AB149" s="1">
        <v>9.2</v>
      </c>
      <c r="AC149" s="1">
        <v>147</v>
      </c>
      <c r="AD149" s="1">
        <v>5.53</v>
      </c>
      <c r="AE149" s="7">
        <v>0.441</v>
      </c>
      <c r="AF149" s="8">
        <v>91.3</v>
      </c>
      <c r="AG149" s="1">
        <v>333</v>
      </c>
      <c r="AH149" s="8">
        <v>10.8</v>
      </c>
      <c r="AI149" s="8">
        <v>39.4</v>
      </c>
      <c r="AJ149" s="9">
        <v>3.4</v>
      </c>
      <c r="AK149" s="8">
        <v>42</v>
      </c>
      <c r="AL149" s="8">
        <v>15.6</v>
      </c>
      <c r="AM149" s="8">
        <v>3.8</v>
      </c>
      <c r="AN149" s="9">
        <v>15.2</v>
      </c>
      <c r="AO149" s="8">
        <v>19.6</v>
      </c>
      <c r="AP149" s="9">
        <v>4.47</v>
      </c>
      <c r="AQ149" s="1">
        <v>5.82</v>
      </c>
      <c r="AR149" s="8">
        <v>72</v>
      </c>
      <c r="AS149" s="8">
        <v>416.1</v>
      </c>
      <c r="AT149" s="9">
        <v>5.25</v>
      </c>
      <c r="AU149" s="9">
        <v>1.58</v>
      </c>
      <c r="AV149" s="9">
        <v>2.24</v>
      </c>
      <c r="AW149" s="9">
        <v>1.14</v>
      </c>
      <c r="AX149" s="9">
        <v>4.23</v>
      </c>
      <c r="AY149" s="8">
        <v>144.3</v>
      </c>
      <c r="AZ149" s="8">
        <v>30.1</v>
      </c>
      <c r="BA149" s="9">
        <v>0.74</v>
      </c>
      <c r="BB149" s="9">
        <v>3.97</v>
      </c>
      <c r="BC149" s="8">
        <v>166.5</v>
      </c>
      <c r="BD149" s="10">
        <v>1522</v>
      </c>
      <c r="BE149" s="10">
        <v>1</v>
      </c>
    </row>
    <row r="150" ht="15.6" spans="1:57">
      <c r="A150" s="14">
        <v>149</v>
      </c>
      <c r="B150" s="14">
        <v>587461</v>
      </c>
      <c r="C150" s="15">
        <v>1</v>
      </c>
      <c r="D150" s="14">
        <v>1</v>
      </c>
      <c r="E150" s="14">
        <v>39</v>
      </c>
      <c r="F150" s="14">
        <v>0</v>
      </c>
      <c r="G150" s="14">
        <v>0</v>
      </c>
      <c r="H150" s="14">
        <v>173</v>
      </c>
      <c r="I150" s="14">
        <v>95</v>
      </c>
      <c r="J150" s="19">
        <f t="shared" si="12"/>
        <v>31.7417889003976</v>
      </c>
      <c r="K150" s="1">
        <v>0.567</v>
      </c>
      <c r="L150" s="1">
        <v>0.303</v>
      </c>
      <c r="M150" s="1">
        <v>0.069</v>
      </c>
      <c r="N150" s="1">
        <v>349</v>
      </c>
      <c r="O150" s="7">
        <v>0.129118811881188</v>
      </c>
      <c r="P150" s="7">
        <v>4.39130434782609</v>
      </c>
      <c r="Q150" s="7">
        <v>1151.81518151815</v>
      </c>
      <c r="R150" s="7">
        <v>1.87128712871287</v>
      </c>
      <c r="S150" s="23">
        <v>3</v>
      </c>
      <c r="T150" s="14">
        <v>1</v>
      </c>
      <c r="U150" s="14">
        <v>2</v>
      </c>
      <c r="V150" s="14">
        <v>1</v>
      </c>
      <c r="W150" s="14">
        <v>1</v>
      </c>
      <c r="X150" s="14">
        <v>2</v>
      </c>
      <c r="Y150" s="14">
        <v>4</v>
      </c>
      <c r="Z150" s="14">
        <v>0</v>
      </c>
      <c r="AA150" s="20">
        <v>1.024</v>
      </c>
      <c r="AB150" s="1">
        <v>34.4</v>
      </c>
      <c r="AC150" s="1">
        <v>154</v>
      </c>
      <c r="AD150" s="1">
        <v>7.79</v>
      </c>
      <c r="AE150" s="7">
        <v>0.439</v>
      </c>
      <c r="AF150" s="8">
        <v>87.5</v>
      </c>
      <c r="AG150" s="1">
        <v>351</v>
      </c>
      <c r="AH150" s="8">
        <v>10.1</v>
      </c>
      <c r="AJ150" s="9">
        <v>2.95</v>
      </c>
      <c r="AK150" s="8">
        <v>45.5</v>
      </c>
      <c r="AL150" s="8">
        <v>10.5</v>
      </c>
      <c r="AM150" s="8">
        <v>2.9</v>
      </c>
      <c r="AN150" s="9">
        <v>13.96</v>
      </c>
      <c r="AO150" s="8">
        <v>54.7</v>
      </c>
      <c r="AP150" s="9">
        <v>5.66</v>
      </c>
      <c r="AQ150" s="1">
        <v>4.62</v>
      </c>
      <c r="AR150" s="8">
        <v>62.4</v>
      </c>
      <c r="AS150" s="8">
        <v>449.4</v>
      </c>
      <c r="AT150" s="9">
        <v>4.86</v>
      </c>
      <c r="AU150" s="9">
        <v>2.23</v>
      </c>
      <c r="AV150" s="9">
        <v>2.39</v>
      </c>
      <c r="AW150" s="9">
        <v>1.57</v>
      </c>
      <c r="AX150" s="9">
        <v>4.4</v>
      </c>
      <c r="AY150" s="8">
        <v>144.7</v>
      </c>
      <c r="AZ150" s="8">
        <v>24.6</v>
      </c>
      <c r="BA150" s="9">
        <v>0.95</v>
      </c>
      <c r="BB150" s="9">
        <v>3.05</v>
      </c>
      <c r="BC150" s="8">
        <v>140.1</v>
      </c>
      <c r="BD150" s="10">
        <v>506</v>
      </c>
      <c r="BE150" s="10">
        <v>1</v>
      </c>
    </row>
    <row r="151" ht="15.6" spans="1:57">
      <c r="A151" s="14">
        <v>150</v>
      </c>
      <c r="B151" s="14">
        <v>869628</v>
      </c>
      <c r="C151" s="15">
        <v>0</v>
      </c>
      <c r="D151" s="14">
        <v>1</v>
      </c>
      <c r="E151" s="14">
        <v>71</v>
      </c>
      <c r="F151" s="14">
        <v>0</v>
      </c>
      <c r="G151" s="14">
        <v>0</v>
      </c>
      <c r="H151" s="14">
        <v>170</v>
      </c>
      <c r="I151" s="14">
        <v>67</v>
      </c>
      <c r="J151" s="19">
        <f t="shared" si="12"/>
        <v>23.1833910034602</v>
      </c>
      <c r="K151" s="14">
        <v>0.549</v>
      </c>
      <c r="L151" s="14">
        <v>0.314</v>
      </c>
      <c r="M151" s="14">
        <v>0.082</v>
      </c>
      <c r="N151" s="14">
        <v>302</v>
      </c>
      <c r="O151" s="20">
        <f t="shared" ref="O151:O214" si="15">K151*M151/L151</f>
        <v>0.143369426751592</v>
      </c>
      <c r="P151" s="20">
        <f t="shared" ref="P151:P214" si="16">K151/L151</f>
        <v>1.7484076433121</v>
      </c>
      <c r="Q151" s="20">
        <f t="shared" ref="Q151:Q214" si="17">L151/J151</f>
        <v>0.0135441791044776</v>
      </c>
      <c r="R151" s="20">
        <f t="shared" ref="R151:R214" si="18">H151/I151</f>
        <v>2.53731343283582</v>
      </c>
      <c r="S151" s="23">
        <v>1</v>
      </c>
      <c r="T151" s="14">
        <v>2</v>
      </c>
      <c r="U151" s="14">
        <v>2</v>
      </c>
      <c r="V151" s="14">
        <v>0</v>
      </c>
      <c r="W151" s="14">
        <v>0</v>
      </c>
      <c r="X151" s="14">
        <v>3</v>
      </c>
      <c r="Y151" s="14">
        <v>2</v>
      </c>
      <c r="Z151" s="1">
        <v>0</v>
      </c>
      <c r="AA151" s="20">
        <v>1.011</v>
      </c>
      <c r="AB151" s="1">
        <v>2.9</v>
      </c>
      <c r="AC151" s="1">
        <v>136</v>
      </c>
      <c r="AD151" s="1">
        <v>5.48</v>
      </c>
      <c r="AE151" s="7">
        <v>0.407</v>
      </c>
      <c r="AF151" s="8">
        <v>97.4</v>
      </c>
      <c r="AG151" s="1">
        <v>334</v>
      </c>
      <c r="AH151" s="8">
        <v>9</v>
      </c>
      <c r="AI151" s="8">
        <v>29.1</v>
      </c>
      <c r="AJ151" s="9">
        <v>3.62</v>
      </c>
      <c r="AK151" s="8">
        <v>36.7</v>
      </c>
      <c r="AL151" s="8">
        <v>9</v>
      </c>
      <c r="AM151" s="8">
        <v>3</v>
      </c>
      <c r="AN151" s="9">
        <v>22.69</v>
      </c>
      <c r="AO151" s="8">
        <v>18.3</v>
      </c>
      <c r="AP151" s="9">
        <v>4.48</v>
      </c>
      <c r="AQ151" s="1">
        <v>4.75</v>
      </c>
      <c r="AR151" s="8">
        <v>66.9</v>
      </c>
      <c r="AS151" s="8">
        <v>254.6</v>
      </c>
      <c r="AT151" s="9">
        <v>4.54</v>
      </c>
      <c r="AU151" s="9">
        <v>0.78</v>
      </c>
      <c r="AV151" s="9">
        <v>2.25</v>
      </c>
      <c r="AW151" s="9">
        <v>1.32</v>
      </c>
      <c r="AX151" s="9">
        <v>4.66</v>
      </c>
      <c r="AY151" s="8">
        <v>141.8</v>
      </c>
      <c r="AZ151" s="8">
        <v>30.8</v>
      </c>
      <c r="BA151" s="9">
        <v>1.4</v>
      </c>
      <c r="BB151" s="9">
        <v>2.77</v>
      </c>
      <c r="BC151" s="8">
        <v>151.4</v>
      </c>
      <c r="BD151" s="32">
        <v>737</v>
      </c>
      <c r="BE151" s="32">
        <v>1</v>
      </c>
    </row>
    <row r="152" ht="15.6" spans="1:57">
      <c r="A152" s="14">
        <v>151</v>
      </c>
      <c r="B152" s="14" t="s">
        <v>203</v>
      </c>
      <c r="C152" s="15">
        <v>1</v>
      </c>
      <c r="D152" s="14">
        <v>1</v>
      </c>
      <c r="E152" s="14">
        <v>44</v>
      </c>
      <c r="F152" s="14">
        <v>0</v>
      </c>
      <c r="G152" s="14">
        <v>0</v>
      </c>
      <c r="H152" s="14">
        <v>168</v>
      </c>
      <c r="I152" s="14">
        <v>68</v>
      </c>
      <c r="J152" s="19">
        <f t="shared" si="12"/>
        <v>24.092970521542</v>
      </c>
      <c r="K152" s="14">
        <v>0.669</v>
      </c>
      <c r="L152" s="14">
        <v>0.249</v>
      </c>
      <c r="M152" s="14">
        <v>0.061</v>
      </c>
      <c r="N152" s="14">
        <v>178</v>
      </c>
      <c r="O152" s="20">
        <f t="shared" si="15"/>
        <v>0.16389156626506</v>
      </c>
      <c r="P152" s="20">
        <f t="shared" si="16"/>
        <v>2.68674698795181</v>
      </c>
      <c r="Q152" s="20">
        <f t="shared" si="17"/>
        <v>0.0103349647058824</v>
      </c>
      <c r="R152" s="20">
        <f t="shared" si="18"/>
        <v>2.47058823529412</v>
      </c>
      <c r="S152" s="23">
        <v>2</v>
      </c>
      <c r="T152" s="14">
        <v>1</v>
      </c>
      <c r="U152" s="14">
        <v>1</v>
      </c>
      <c r="V152" s="14">
        <v>1</v>
      </c>
      <c r="W152" s="14">
        <v>1</v>
      </c>
      <c r="X152" s="14">
        <v>3</v>
      </c>
      <c r="Y152" s="14">
        <v>4</v>
      </c>
      <c r="Z152" s="1">
        <v>0</v>
      </c>
      <c r="AA152" s="20">
        <v>1.011</v>
      </c>
      <c r="AB152" s="1">
        <v>0.2</v>
      </c>
      <c r="AC152" s="1">
        <v>151</v>
      </c>
      <c r="AD152" s="1">
        <v>6.23</v>
      </c>
      <c r="AE152" s="7">
        <v>0.458</v>
      </c>
      <c r="AF152" s="8">
        <v>92</v>
      </c>
      <c r="AG152" s="1">
        <v>330</v>
      </c>
      <c r="AH152" s="8">
        <v>12.7</v>
      </c>
      <c r="AI152" s="8">
        <v>31.3</v>
      </c>
      <c r="AJ152" s="1">
        <v>2.66</v>
      </c>
      <c r="AK152" s="8">
        <v>43.2</v>
      </c>
      <c r="AL152" s="1">
        <v>6.2</v>
      </c>
      <c r="AM152" s="8">
        <v>2.2</v>
      </c>
      <c r="AN152" s="9">
        <v>12.4</v>
      </c>
      <c r="AO152" s="8">
        <v>45.9</v>
      </c>
      <c r="AP152" s="9">
        <v>6.06</v>
      </c>
      <c r="AQ152" s="1">
        <v>4.88</v>
      </c>
      <c r="AR152" s="8">
        <v>74</v>
      </c>
      <c r="AS152" s="8">
        <v>294</v>
      </c>
      <c r="AT152" s="9">
        <v>3.17</v>
      </c>
      <c r="AU152" s="9">
        <v>1.63</v>
      </c>
      <c r="AV152" s="9">
        <v>2.25</v>
      </c>
      <c r="AW152" s="9">
        <v>1.42</v>
      </c>
      <c r="AX152" s="9">
        <v>3.83</v>
      </c>
      <c r="AY152" s="8">
        <v>142.5</v>
      </c>
      <c r="AZ152" s="8">
        <v>25.7</v>
      </c>
      <c r="BA152" s="9">
        <v>0.94</v>
      </c>
      <c r="BB152" s="9">
        <v>1.71</v>
      </c>
      <c r="BC152" s="8">
        <v>139.8</v>
      </c>
      <c r="BD152" s="32">
        <v>1889</v>
      </c>
      <c r="BE152" s="32">
        <v>1</v>
      </c>
    </row>
    <row r="153" ht="15.6" spans="1:57">
      <c r="A153" s="14">
        <v>152</v>
      </c>
      <c r="B153" s="14" t="s">
        <v>204</v>
      </c>
      <c r="C153" s="15">
        <v>1</v>
      </c>
      <c r="D153" s="14">
        <v>1</v>
      </c>
      <c r="E153" s="14">
        <v>70</v>
      </c>
      <c r="F153" s="14">
        <v>1</v>
      </c>
      <c r="G153" s="14">
        <v>0</v>
      </c>
      <c r="H153" s="14">
        <v>173</v>
      </c>
      <c r="I153" s="14">
        <v>69</v>
      </c>
      <c r="J153" s="19">
        <f t="shared" si="12"/>
        <v>23.0545624644993</v>
      </c>
      <c r="K153" s="14">
        <v>0.591</v>
      </c>
      <c r="L153" s="14">
        <v>0.314</v>
      </c>
      <c r="M153" s="14">
        <v>0.065</v>
      </c>
      <c r="N153" s="14">
        <v>190</v>
      </c>
      <c r="O153" s="20">
        <f t="shared" si="15"/>
        <v>0.12234076433121</v>
      </c>
      <c r="P153" s="20">
        <f t="shared" si="16"/>
        <v>1.88216560509554</v>
      </c>
      <c r="Q153" s="20">
        <f t="shared" si="17"/>
        <v>0.0136198637681159</v>
      </c>
      <c r="R153" s="20">
        <f t="shared" si="18"/>
        <v>2.50724637681159</v>
      </c>
      <c r="S153" s="23">
        <v>2</v>
      </c>
      <c r="T153" s="14">
        <v>2</v>
      </c>
      <c r="U153" s="14">
        <v>2</v>
      </c>
      <c r="V153" s="14">
        <v>0</v>
      </c>
      <c r="W153" s="14">
        <v>0</v>
      </c>
      <c r="X153" s="14">
        <v>2</v>
      </c>
      <c r="Y153" s="14">
        <v>2</v>
      </c>
      <c r="Z153" s="14">
        <v>0</v>
      </c>
      <c r="AA153" s="20">
        <v>1.013</v>
      </c>
      <c r="AB153" s="1">
        <v>2.2</v>
      </c>
      <c r="AC153" s="1">
        <v>160</v>
      </c>
      <c r="AD153" s="1">
        <v>4.91</v>
      </c>
      <c r="AE153" s="7">
        <v>0.461</v>
      </c>
      <c r="AF153" s="8">
        <v>89.2</v>
      </c>
      <c r="AG153" s="1">
        <v>347</v>
      </c>
      <c r="AH153" s="8">
        <v>10.7</v>
      </c>
      <c r="AI153" s="8">
        <v>39.9</v>
      </c>
      <c r="AJ153" s="9">
        <v>2.75</v>
      </c>
      <c r="AK153" s="8">
        <v>44.3</v>
      </c>
      <c r="AL153" s="8">
        <v>16.2</v>
      </c>
      <c r="AM153" s="8">
        <v>4.5</v>
      </c>
      <c r="AN153" s="9">
        <v>13.3</v>
      </c>
      <c r="AO153" s="8">
        <v>14.2</v>
      </c>
      <c r="AP153" s="9">
        <v>5.23</v>
      </c>
      <c r="AQ153" s="1">
        <v>4.53</v>
      </c>
      <c r="AR153" s="8">
        <v>90.5</v>
      </c>
      <c r="AS153" s="8">
        <v>268.8</v>
      </c>
      <c r="AT153" s="9">
        <v>4.56</v>
      </c>
      <c r="AU153" s="9">
        <v>0.81</v>
      </c>
      <c r="AV153" s="9">
        <v>2.25</v>
      </c>
      <c r="AW153" s="9">
        <v>0.88</v>
      </c>
      <c r="AX153" s="9">
        <v>3.72</v>
      </c>
      <c r="AY153" s="8">
        <v>141.7</v>
      </c>
      <c r="AZ153" s="8">
        <v>26.6</v>
      </c>
      <c r="BA153" s="9">
        <v>1.48</v>
      </c>
      <c r="BB153" s="9">
        <v>2.75</v>
      </c>
      <c r="BC153" s="8">
        <v>176.8</v>
      </c>
      <c r="BD153" s="32">
        <v>3525</v>
      </c>
      <c r="BE153" s="32">
        <v>0</v>
      </c>
    </row>
    <row r="154" ht="15.6" spans="1:57">
      <c r="A154" s="14">
        <v>153</v>
      </c>
      <c r="B154" s="14" t="s">
        <v>205</v>
      </c>
      <c r="C154" s="15">
        <v>1</v>
      </c>
      <c r="D154" s="14">
        <v>2</v>
      </c>
      <c r="E154" s="14">
        <v>50</v>
      </c>
      <c r="F154" s="14">
        <v>0</v>
      </c>
      <c r="G154" s="14">
        <v>0</v>
      </c>
      <c r="H154" s="14">
        <v>163</v>
      </c>
      <c r="I154" s="14">
        <v>60</v>
      </c>
      <c r="J154" s="19">
        <f t="shared" si="12"/>
        <v>22.5827091723437</v>
      </c>
      <c r="K154" s="14">
        <v>0.63</v>
      </c>
      <c r="L154" s="14">
        <v>0.291</v>
      </c>
      <c r="M154" s="14">
        <v>0.054</v>
      </c>
      <c r="N154" s="14">
        <v>175</v>
      </c>
      <c r="O154" s="20">
        <f t="shared" si="15"/>
        <v>0.116907216494845</v>
      </c>
      <c r="P154" s="20">
        <f t="shared" si="16"/>
        <v>2.16494845360825</v>
      </c>
      <c r="Q154" s="20">
        <f t="shared" si="17"/>
        <v>0.012885965</v>
      </c>
      <c r="R154" s="20">
        <f t="shared" si="18"/>
        <v>2.71666666666667</v>
      </c>
      <c r="S154" s="23">
        <v>1</v>
      </c>
      <c r="T154" s="14">
        <v>2</v>
      </c>
      <c r="U154" s="14">
        <v>1</v>
      </c>
      <c r="V154" s="14">
        <v>2</v>
      </c>
      <c r="W154" s="14">
        <v>1</v>
      </c>
      <c r="X154" s="14">
        <v>3</v>
      </c>
      <c r="Y154" s="14">
        <v>4</v>
      </c>
      <c r="Z154" s="14">
        <v>0</v>
      </c>
      <c r="AA154" s="20">
        <v>1.021</v>
      </c>
      <c r="AB154" s="1">
        <v>3.6</v>
      </c>
      <c r="AC154" s="1">
        <v>129</v>
      </c>
      <c r="AD154" s="1">
        <v>5.19</v>
      </c>
      <c r="AE154" s="7">
        <v>0.395</v>
      </c>
      <c r="AF154" s="8">
        <v>90.4</v>
      </c>
      <c r="AG154" s="1">
        <v>327</v>
      </c>
      <c r="AH154" s="8">
        <v>11</v>
      </c>
      <c r="AI154" s="8">
        <v>34.6</v>
      </c>
      <c r="AJ154" s="9">
        <v>2.89</v>
      </c>
      <c r="AK154" s="8">
        <v>40.2</v>
      </c>
      <c r="AL154" s="8">
        <v>9.2</v>
      </c>
      <c r="AM154" s="8">
        <v>1.7</v>
      </c>
      <c r="AN154" s="9">
        <v>9.16</v>
      </c>
      <c r="AO154" s="8">
        <v>41.5</v>
      </c>
      <c r="AP154" s="9">
        <v>4.96</v>
      </c>
      <c r="AQ154" s="1">
        <v>5.03</v>
      </c>
      <c r="AR154" s="8">
        <v>57.9</v>
      </c>
      <c r="AS154" s="8">
        <v>362.6</v>
      </c>
      <c r="AT154" s="9">
        <v>6.13</v>
      </c>
      <c r="AU154" s="9">
        <v>7.13</v>
      </c>
      <c r="AV154" s="9">
        <v>2.25</v>
      </c>
      <c r="AW154" s="9">
        <v>1.27</v>
      </c>
      <c r="AX154" s="9">
        <v>3.83</v>
      </c>
      <c r="AY154" s="8">
        <v>143.5</v>
      </c>
      <c r="AZ154" s="8">
        <v>29.5</v>
      </c>
      <c r="BA154" s="9">
        <v>0.77</v>
      </c>
      <c r="BB154" s="9">
        <v>2.8</v>
      </c>
      <c r="BC154" s="8">
        <v>133</v>
      </c>
      <c r="BD154" s="32">
        <v>404</v>
      </c>
      <c r="BE154" s="32">
        <v>1</v>
      </c>
    </row>
    <row r="155" ht="15.6" spans="1:57">
      <c r="A155" s="14">
        <v>154</v>
      </c>
      <c r="B155" s="14" t="s">
        <v>206</v>
      </c>
      <c r="C155" s="15">
        <v>0</v>
      </c>
      <c r="D155" s="14">
        <v>1</v>
      </c>
      <c r="E155" s="14">
        <v>56</v>
      </c>
      <c r="F155" s="14">
        <v>0</v>
      </c>
      <c r="G155" s="14">
        <v>0</v>
      </c>
      <c r="H155" s="14">
        <v>182</v>
      </c>
      <c r="I155" s="14">
        <v>74</v>
      </c>
      <c r="J155" s="19">
        <f t="shared" si="12"/>
        <v>22.3402970655718</v>
      </c>
      <c r="K155" s="14">
        <v>0.593</v>
      </c>
      <c r="L155" s="14">
        <v>0.325</v>
      </c>
      <c r="M155" s="14">
        <v>0.068</v>
      </c>
      <c r="N155" s="14">
        <v>285</v>
      </c>
      <c r="O155" s="20">
        <f t="shared" si="15"/>
        <v>0.124073846153846</v>
      </c>
      <c r="P155" s="20">
        <f t="shared" si="16"/>
        <v>1.82461538461538</v>
      </c>
      <c r="Q155" s="20">
        <f t="shared" si="17"/>
        <v>0.0145477027027027</v>
      </c>
      <c r="R155" s="20">
        <f t="shared" si="18"/>
        <v>2.45945945945946</v>
      </c>
      <c r="S155" s="23">
        <v>3</v>
      </c>
      <c r="T155" s="14">
        <v>2</v>
      </c>
      <c r="U155" s="14">
        <v>2</v>
      </c>
      <c r="V155" s="14">
        <v>0</v>
      </c>
      <c r="W155" s="14">
        <v>0</v>
      </c>
      <c r="X155" s="14">
        <v>1</v>
      </c>
      <c r="Y155" s="14">
        <v>2</v>
      </c>
      <c r="Z155" s="1">
        <v>0</v>
      </c>
      <c r="AA155" s="20">
        <v>1.027</v>
      </c>
      <c r="AB155" s="1">
        <v>3.6</v>
      </c>
      <c r="AC155" s="1">
        <v>131</v>
      </c>
      <c r="AD155" s="1">
        <v>6.06</v>
      </c>
      <c r="AE155" s="7">
        <v>0.391</v>
      </c>
      <c r="AF155" s="8">
        <v>96.8</v>
      </c>
      <c r="AG155" s="1">
        <v>335</v>
      </c>
      <c r="AH155" s="8">
        <v>10</v>
      </c>
      <c r="AI155" s="8">
        <v>35.4</v>
      </c>
      <c r="AJ155" s="9">
        <v>2.44</v>
      </c>
      <c r="AK155" s="8">
        <v>40.2</v>
      </c>
      <c r="AL155" s="8">
        <v>4.7</v>
      </c>
      <c r="AM155" s="8">
        <v>1.5</v>
      </c>
      <c r="AN155" s="9">
        <v>9.85</v>
      </c>
      <c r="AO155" s="8">
        <v>56.6</v>
      </c>
      <c r="AP155" s="9">
        <v>5.04</v>
      </c>
      <c r="AQ155" s="1">
        <v>6.61</v>
      </c>
      <c r="AR155" s="8">
        <v>77.1</v>
      </c>
      <c r="AS155" s="8">
        <v>387.5</v>
      </c>
      <c r="AT155" s="9">
        <v>4.96</v>
      </c>
      <c r="AU155" s="9">
        <v>0.85</v>
      </c>
      <c r="AV155" s="9">
        <v>2</v>
      </c>
      <c r="AW155" s="9">
        <v>1.03</v>
      </c>
      <c r="AX155" s="9">
        <v>3.42</v>
      </c>
      <c r="AY155" s="8">
        <v>144.9</v>
      </c>
      <c r="AZ155" s="8">
        <v>28</v>
      </c>
      <c r="BA155" s="9">
        <v>1.06</v>
      </c>
      <c r="BB155" s="9">
        <v>3.35</v>
      </c>
      <c r="BC155" s="8">
        <v>166.5</v>
      </c>
      <c r="BD155" s="32">
        <v>3735</v>
      </c>
      <c r="BE155" s="32">
        <v>0</v>
      </c>
    </row>
    <row r="156" ht="15.6" spans="1:57">
      <c r="A156" s="14">
        <v>155</v>
      </c>
      <c r="B156" s="14" t="s">
        <v>60</v>
      </c>
      <c r="C156" s="15">
        <v>1</v>
      </c>
      <c r="D156" s="14">
        <v>1</v>
      </c>
      <c r="E156" s="14">
        <v>23</v>
      </c>
      <c r="F156" s="14">
        <v>0</v>
      </c>
      <c r="G156" s="14">
        <v>0</v>
      </c>
      <c r="H156" s="14">
        <v>185</v>
      </c>
      <c r="I156" s="14">
        <v>92</v>
      </c>
      <c r="J156" s="19">
        <f t="shared" si="12"/>
        <v>26.8809349890431</v>
      </c>
      <c r="K156" s="14">
        <v>0.646</v>
      </c>
      <c r="L156" s="14">
        <v>0.247</v>
      </c>
      <c r="M156" s="14">
        <v>0.09</v>
      </c>
      <c r="N156" s="14">
        <v>205</v>
      </c>
      <c r="O156" s="20">
        <f t="shared" si="15"/>
        <v>0.235384615384615</v>
      </c>
      <c r="P156" s="20">
        <f t="shared" si="16"/>
        <v>2.61538461538462</v>
      </c>
      <c r="Q156" s="20">
        <f t="shared" si="17"/>
        <v>0.00918866847826087</v>
      </c>
      <c r="R156" s="20">
        <f t="shared" si="18"/>
        <v>2.01086956521739</v>
      </c>
      <c r="S156" s="23">
        <v>4</v>
      </c>
      <c r="T156" s="14">
        <v>2</v>
      </c>
      <c r="U156" s="14">
        <v>2</v>
      </c>
      <c r="V156" s="14">
        <v>2</v>
      </c>
      <c r="W156" s="14">
        <v>1</v>
      </c>
      <c r="X156" s="14">
        <v>3</v>
      </c>
      <c r="Y156" s="14">
        <v>4</v>
      </c>
      <c r="Z156" s="14">
        <v>0</v>
      </c>
      <c r="AA156" s="20">
        <v>1.026</v>
      </c>
      <c r="AB156" s="1">
        <v>0.7</v>
      </c>
      <c r="AC156" s="1">
        <v>152</v>
      </c>
      <c r="AD156" s="1">
        <v>8.22</v>
      </c>
      <c r="AE156" s="7">
        <v>0.447</v>
      </c>
      <c r="AF156" s="8">
        <v>97</v>
      </c>
      <c r="AG156" s="1">
        <v>340</v>
      </c>
      <c r="AH156" s="8">
        <v>11.4</v>
      </c>
      <c r="AI156" s="8">
        <v>34.4</v>
      </c>
      <c r="AJ156" s="9">
        <v>2.79</v>
      </c>
      <c r="AK156" s="8">
        <v>43.6</v>
      </c>
      <c r="AL156" s="8">
        <v>7.1</v>
      </c>
      <c r="AM156" s="8">
        <v>2.9</v>
      </c>
      <c r="AN156" s="9">
        <v>21.63</v>
      </c>
      <c r="AO156" s="8">
        <v>13.4</v>
      </c>
      <c r="AP156" s="9">
        <v>4.73</v>
      </c>
      <c r="AQ156" s="1">
        <v>3.89</v>
      </c>
      <c r="AR156" s="8">
        <v>67.9</v>
      </c>
      <c r="AS156" s="8">
        <v>356.3</v>
      </c>
      <c r="AT156" s="9">
        <v>3.24</v>
      </c>
      <c r="AU156" s="9">
        <v>0.99</v>
      </c>
      <c r="AV156" s="9">
        <v>2.23</v>
      </c>
      <c r="AW156" s="9">
        <v>1.58</v>
      </c>
      <c r="AX156" s="9">
        <v>3.93</v>
      </c>
      <c r="AY156" s="8">
        <v>142.2</v>
      </c>
      <c r="AZ156" s="8">
        <v>27.8</v>
      </c>
      <c r="BA156" s="9">
        <v>0.8</v>
      </c>
      <c r="BB156" s="9">
        <v>1.88</v>
      </c>
      <c r="BC156" s="8">
        <v>139.5</v>
      </c>
      <c r="BD156" s="32">
        <v>1367</v>
      </c>
      <c r="BE156" s="32">
        <v>1</v>
      </c>
    </row>
    <row r="157" ht="15.6" spans="1:57">
      <c r="A157" s="14">
        <v>156</v>
      </c>
      <c r="B157" s="14" t="s">
        <v>207</v>
      </c>
      <c r="C157" s="15">
        <v>1</v>
      </c>
      <c r="D157" s="14">
        <v>1</v>
      </c>
      <c r="E157" s="14">
        <v>42</v>
      </c>
      <c r="F157" s="14">
        <v>0</v>
      </c>
      <c r="G157" s="14">
        <v>0</v>
      </c>
      <c r="H157" s="14">
        <v>170</v>
      </c>
      <c r="I157" s="14">
        <v>82</v>
      </c>
      <c r="J157" s="19">
        <f t="shared" si="12"/>
        <v>28.3737024221453</v>
      </c>
      <c r="K157" s="14">
        <v>0.592</v>
      </c>
      <c r="L157" s="14">
        <v>0.321</v>
      </c>
      <c r="M157" s="14">
        <v>0.062</v>
      </c>
      <c r="N157" s="14">
        <v>150</v>
      </c>
      <c r="O157" s="20">
        <f t="shared" si="15"/>
        <v>0.114342679127726</v>
      </c>
      <c r="P157" s="20">
        <f t="shared" si="16"/>
        <v>1.84423676012461</v>
      </c>
      <c r="Q157" s="20">
        <f t="shared" si="17"/>
        <v>0.0113132926829268</v>
      </c>
      <c r="R157" s="20">
        <f t="shared" si="18"/>
        <v>2.07317073170732</v>
      </c>
      <c r="S157" s="23">
        <v>2</v>
      </c>
      <c r="T157" s="14">
        <v>2</v>
      </c>
      <c r="U157" s="14">
        <v>2</v>
      </c>
      <c r="V157" s="14">
        <v>1</v>
      </c>
      <c r="W157" s="14">
        <v>0</v>
      </c>
      <c r="X157" s="14">
        <v>3</v>
      </c>
      <c r="Y157" s="14">
        <v>4</v>
      </c>
      <c r="Z157" s="1">
        <v>0</v>
      </c>
      <c r="AA157" s="20">
        <v>1.021</v>
      </c>
      <c r="AB157" s="1">
        <v>10.4</v>
      </c>
      <c r="AC157" s="1">
        <v>141</v>
      </c>
      <c r="AD157" s="9">
        <v>6.8</v>
      </c>
      <c r="AE157" s="7">
        <v>0.42</v>
      </c>
      <c r="AF157" s="8">
        <v>90</v>
      </c>
      <c r="AG157" s="1">
        <v>333</v>
      </c>
      <c r="AH157" s="8">
        <v>13.4</v>
      </c>
      <c r="AI157" s="8">
        <v>39.4</v>
      </c>
      <c r="AJ157" s="9">
        <v>3.13</v>
      </c>
      <c r="AK157" s="8">
        <v>41.1</v>
      </c>
      <c r="AL157" s="8">
        <v>4</v>
      </c>
      <c r="AM157" s="8">
        <v>1.4</v>
      </c>
      <c r="AN157" s="9">
        <v>13.85</v>
      </c>
      <c r="AO157" s="8">
        <v>68.2</v>
      </c>
      <c r="AP157" s="9">
        <v>5.15</v>
      </c>
      <c r="AQ157" s="1">
        <v>7.17</v>
      </c>
      <c r="AR157" s="8">
        <v>95.2</v>
      </c>
      <c r="AS157" s="8">
        <v>367.5</v>
      </c>
      <c r="AT157" s="9">
        <v>4.25</v>
      </c>
      <c r="AU157" s="9">
        <v>1.9</v>
      </c>
      <c r="AV157" s="9">
        <v>2.23</v>
      </c>
      <c r="AW157" s="9">
        <v>1.28</v>
      </c>
      <c r="AX157" s="9">
        <v>3.62</v>
      </c>
      <c r="AY157" s="8">
        <v>145.1</v>
      </c>
      <c r="AZ157" s="8">
        <v>27.5</v>
      </c>
      <c r="BA157" s="9">
        <v>0.9</v>
      </c>
      <c r="BB157" s="9">
        <v>2.93</v>
      </c>
      <c r="BC157" s="8">
        <v>151.6</v>
      </c>
      <c r="BD157" s="32">
        <v>1020</v>
      </c>
      <c r="BE157" s="32">
        <v>1</v>
      </c>
    </row>
    <row r="158" ht="15.6" spans="1:57">
      <c r="A158" s="14">
        <v>157</v>
      </c>
      <c r="B158" s="14" t="s">
        <v>208</v>
      </c>
      <c r="C158" s="15">
        <v>0</v>
      </c>
      <c r="D158" s="14">
        <v>1</v>
      </c>
      <c r="E158" s="14">
        <v>48</v>
      </c>
      <c r="F158" s="14">
        <v>0</v>
      </c>
      <c r="G158" s="14">
        <v>0</v>
      </c>
      <c r="H158" s="14">
        <v>175</v>
      </c>
      <c r="I158" s="14">
        <v>73</v>
      </c>
      <c r="J158" s="19">
        <f t="shared" si="12"/>
        <v>23.8367346938776</v>
      </c>
      <c r="K158" s="14">
        <v>0.643</v>
      </c>
      <c r="L158" s="14">
        <v>0.285</v>
      </c>
      <c r="M158" s="14">
        <v>0.054</v>
      </c>
      <c r="N158" s="14">
        <v>212</v>
      </c>
      <c r="O158" s="20">
        <f t="shared" si="15"/>
        <v>0.121831578947368</v>
      </c>
      <c r="P158" s="20">
        <f t="shared" si="16"/>
        <v>2.25614035087719</v>
      </c>
      <c r="Q158" s="20">
        <f t="shared" si="17"/>
        <v>0.0119563356164384</v>
      </c>
      <c r="R158" s="20">
        <f t="shared" si="18"/>
        <v>2.3972602739726</v>
      </c>
      <c r="S158" s="23">
        <v>2</v>
      </c>
      <c r="T158" s="14">
        <v>2</v>
      </c>
      <c r="U158" s="14">
        <v>3</v>
      </c>
      <c r="V158" s="14">
        <v>0</v>
      </c>
      <c r="W158" s="14">
        <v>0</v>
      </c>
      <c r="X158" s="14">
        <v>3</v>
      </c>
      <c r="Y158" s="14">
        <v>3</v>
      </c>
      <c r="Z158" s="14">
        <v>1</v>
      </c>
      <c r="AA158" s="20">
        <v>1.023</v>
      </c>
      <c r="AB158" s="1">
        <v>11.3</v>
      </c>
      <c r="AC158" s="1">
        <v>135</v>
      </c>
      <c r="AD158" s="1">
        <v>11.42</v>
      </c>
      <c r="AE158" s="7">
        <v>0.39</v>
      </c>
      <c r="AF158" s="8">
        <v>92.4</v>
      </c>
      <c r="AG158" s="1">
        <v>346</v>
      </c>
      <c r="AH158" s="8">
        <v>12</v>
      </c>
      <c r="AI158" s="8">
        <v>34.7</v>
      </c>
      <c r="AJ158" s="9">
        <v>4.59</v>
      </c>
      <c r="AK158" s="8">
        <v>38.1</v>
      </c>
      <c r="AL158" s="8">
        <v>17.7</v>
      </c>
      <c r="AM158" s="8">
        <v>4.8</v>
      </c>
      <c r="AN158" s="9">
        <v>8.82</v>
      </c>
      <c r="AO158" s="8">
        <v>38.6</v>
      </c>
      <c r="AP158" s="9">
        <v>6.95</v>
      </c>
      <c r="AQ158" s="1">
        <v>5.99</v>
      </c>
      <c r="AR158" s="8">
        <v>68</v>
      </c>
      <c r="AS158" s="8">
        <v>274.9</v>
      </c>
      <c r="AT158" s="9">
        <v>5.21</v>
      </c>
      <c r="AU158" s="9">
        <v>1.63</v>
      </c>
      <c r="AV158" s="9">
        <v>2.25</v>
      </c>
      <c r="AW158" s="9">
        <v>1.34</v>
      </c>
      <c r="AX158" s="9">
        <v>4.04</v>
      </c>
      <c r="AY158" s="8">
        <v>146.1</v>
      </c>
      <c r="AZ158" s="8">
        <v>29</v>
      </c>
      <c r="BA158" s="9">
        <v>0.9</v>
      </c>
      <c r="BB158" s="9">
        <v>3.21</v>
      </c>
      <c r="BC158" s="8">
        <v>179.5</v>
      </c>
      <c r="BD158" s="10">
        <v>3907</v>
      </c>
      <c r="BE158" s="10">
        <v>0</v>
      </c>
    </row>
    <row r="159" ht="15.6" spans="1:57">
      <c r="A159" s="14">
        <v>158</v>
      </c>
      <c r="B159" s="14" t="s">
        <v>209</v>
      </c>
      <c r="C159" s="15">
        <v>1</v>
      </c>
      <c r="D159" s="14">
        <v>2</v>
      </c>
      <c r="E159" s="14">
        <v>27</v>
      </c>
      <c r="F159" s="14">
        <v>0</v>
      </c>
      <c r="G159" s="14">
        <v>0</v>
      </c>
      <c r="H159" s="14">
        <v>168</v>
      </c>
      <c r="I159" s="14">
        <v>62</v>
      </c>
      <c r="J159" s="19">
        <f t="shared" si="12"/>
        <v>21.9671201814059</v>
      </c>
      <c r="K159" s="14">
        <v>0.519</v>
      </c>
      <c r="L159" s="14">
        <v>0.386</v>
      </c>
      <c r="M159" s="14">
        <v>0.071</v>
      </c>
      <c r="N159" s="14">
        <v>176</v>
      </c>
      <c r="O159" s="20">
        <f t="shared" si="15"/>
        <v>0.0954637305699482</v>
      </c>
      <c r="P159" s="20">
        <f t="shared" si="16"/>
        <v>1.34455958549223</v>
      </c>
      <c r="Q159" s="20">
        <f t="shared" si="17"/>
        <v>0.0175717161290323</v>
      </c>
      <c r="R159" s="20">
        <f t="shared" si="18"/>
        <v>2.70967741935484</v>
      </c>
      <c r="S159" s="23">
        <v>2</v>
      </c>
      <c r="T159" s="14">
        <v>1</v>
      </c>
      <c r="U159" s="14">
        <v>3</v>
      </c>
      <c r="V159" s="14">
        <v>2</v>
      </c>
      <c r="W159" s="14">
        <v>1</v>
      </c>
      <c r="X159" s="14">
        <v>2</v>
      </c>
      <c r="Y159" s="14">
        <v>4</v>
      </c>
      <c r="Z159" s="14">
        <v>1</v>
      </c>
      <c r="AA159" s="20">
        <v>1.026</v>
      </c>
      <c r="AB159" s="1">
        <v>445.9</v>
      </c>
      <c r="AC159" s="1">
        <v>135</v>
      </c>
      <c r="AD159" s="9">
        <v>4.9</v>
      </c>
      <c r="AE159" s="7">
        <v>0.404</v>
      </c>
      <c r="AF159" s="8">
        <v>92.9</v>
      </c>
      <c r="AG159" s="1">
        <v>334</v>
      </c>
      <c r="AH159" s="8">
        <v>11.4</v>
      </c>
      <c r="AI159" s="8">
        <v>43.6</v>
      </c>
      <c r="AJ159" s="9">
        <v>3.12</v>
      </c>
      <c r="AK159" s="8">
        <v>44.5</v>
      </c>
      <c r="AL159" s="8">
        <v>8.7</v>
      </c>
      <c r="AM159" s="8">
        <v>2.9</v>
      </c>
      <c r="AN159" s="9">
        <v>9.51</v>
      </c>
      <c r="AO159" s="8">
        <v>11.6</v>
      </c>
      <c r="AP159" s="9">
        <v>5.17</v>
      </c>
      <c r="AQ159" s="1">
        <v>3.65</v>
      </c>
      <c r="AR159" s="8">
        <v>53.7</v>
      </c>
      <c r="AS159" s="8">
        <v>267.7</v>
      </c>
      <c r="AT159" s="9">
        <v>4.41</v>
      </c>
      <c r="AU159" s="9">
        <v>0.66</v>
      </c>
      <c r="AV159" s="9">
        <v>2.07</v>
      </c>
      <c r="AW159" s="9">
        <v>1.21</v>
      </c>
      <c r="AX159" s="9">
        <v>4.14</v>
      </c>
      <c r="AY159" s="8">
        <v>138.3</v>
      </c>
      <c r="AZ159" s="8">
        <v>25.4</v>
      </c>
      <c r="BA159" s="9">
        <v>1.27</v>
      </c>
      <c r="BB159" s="9">
        <v>2.76</v>
      </c>
      <c r="BC159" s="8">
        <v>159.3</v>
      </c>
      <c r="BD159" s="32">
        <v>2941</v>
      </c>
      <c r="BE159" s="32">
        <v>1</v>
      </c>
    </row>
    <row r="160" ht="15.6" spans="1:57">
      <c r="A160" s="14">
        <v>159</v>
      </c>
      <c r="B160" s="14" t="s">
        <v>210</v>
      </c>
      <c r="C160" s="15">
        <v>1</v>
      </c>
      <c r="D160" s="14">
        <v>1</v>
      </c>
      <c r="E160" s="14">
        <v>71</v>
      </c>
      <c r="F160" s="14">
        <v>1</v>
      </c>
      <c r="G160" s="14">
        <v>0</v>
      </c>
      <c r="H160" s="14">
        <v>168</v>
      </c>
      <c r="I160" s="14">
        <v>63</v>
      </c>
      <c r="J160" s="19">
        <f t="shared" si="12"/>
        <v>22.3214285714286</v>
      </c>
      <c r="K160" s="14">
        <v>0.613</v>
      </c>
      <c r="L160" s="14">
        <v>0.321</v>
      </c>
      <c r="M160" s="14">
        <v>0.044</v>
      </c>
      <c r="N160" s="14">
        <v>261</v>
      </c>
      <c r="O160" s="20">
        <f t="shared" si="15"/>
        <v>0.0840249221183801</v>
      </c>
      <c r="P160" s="20">
        <f t="shared" si="16"/>
        <v>1.90965732087227</v>
      </c>
      <c r="Q160" s="20">
        <f t="shared" si="17"/>
        <v>0.0143808</v>
      </c>
      <c r="R160" s="20">
        <f t="shared" si="18"/>
        <v>2.66666666666667</v>
      </c>
      <c r="S160" s="23">
        <v>3</v>
      </c>
      <c r="T160" s="14">
        <v>2</v>
      </c>
      <c r="U160" s="14">
        <v>2</v>
      </c>
      <c r="V160" s="14">
        <v>2</v>
      </c>
      <c r="W160" s="14">
        <v>1</v>
      </c>
      <c r="X160" s="14">
        <v>3</v>
      </c>
      <c r="Y160" s="14">
        <v>4</v>
      </c>
      <c r="Z160" s="14">
        <v>0</v>
      </c>
      <c r="AA160" s="20">
        <v>1.025</v>
      </c>
      <c r="AB160" s="8">
        <v>11</v>
      </c>
      <c r="AC160" s="1">
        <v>129</v>
      </c>
      <c r="AD160" s="1">
        <v>4.95</v>
      </c>
      <c r="AE160" s="7">
        <v>0.388</v>
      </c>
      <c r="AF160" s="8">
        <v>90.4</v>
      </c>
      <c r="AG160" s="1">
        <v>332</v>
      </c>
      <c r="AH160" s="8">
        <v>10.1</v>
      </c>
      <c r="AI160" s="8">
        <v>32</v>
      </c>
      <c r="AJ160" s="9">
        <v>3.4</v>
      </c>
      <c r="AK160" s="8">
        <v>40</v>
      </c>
      <c r="AL160" s="8">
        <v>6.9</v>
      </c>
      <c r="AM160" s="8">
        <v>1.7</v>
      </c>
      <c r="AN160" s="9">
        <v>12.4</v>
      </c>
      <c r="AO160" s="8">
        <v>14</v>
      </c>
      <c r="AP160" s="9">
        <v>4.6</v>
      </c>
      <c r="AQ160" s="9">
        <v>4.4</v>
      </c>
      <c r="AR160" s="8">
        <v>62.7</v>
      </c>
      <c r="AS160" s="8">
        <v>353.2</v>
      </c>
      <c r="AT160" s="9">
        <v>5.92</v>
      </c>
      <c r="AU160" s="9">
        <v>1.22</v>
      </c>
      <c r="AV160" s="9">
        <v>2.36</v>
      </c>
      <c r="AW160" s="9">
        <v>1.3</v>
      </c>
      <c r="AX160" s="9">
        <v>4</v>
      </c>
      <c r="AY160" s="8">
        <v>145.6</v>
      </c>
      <c r="AZ160" s="8">
        <v>28.5</v>
      </c>
      <c r="BA160" s="9">
        <v>1.36</v>
      </c>
      <c r="BB160" s="9">
        <v>3.83</v>
      </c>
      <c r="BC160" s="8">
        <v>139.6</v>
      </c>
      <c r="BD160" s="32">
        <v>1387</v>
      </c>
      <c r="BE160" s="32">
        <v>1</v>
      </c>
    </row>
    <row r="161" ht="15.6" spans="1:57">
      <c r="A161" s="14">
        <v>160</v>
      </c>
      <c r="B161" s="14" t="s">
        <v>211</v>
      </c>
      <c r="C161" s="15">
        <v>0</v>
      </c>
      <c r="D161" s="14">
        <v>2</v>
      </c>
      <c r="E161" s="14">
        <v>56</v>
      </c>
      <c r="F161" s="14">
        <v>0</v>
      </c>
      <c r="G161" s="14">
        <v>0</v>
      </c>
      <c r="H161" s="14">
        <v>164</v>
      </c>
      <c r="I161" s="14">
        <v>64</v>
      </c>
      <c r="J161" s="19">
        <f t="shared" si="12"/>
        <v>23.7953599048186</v>
      </c>
      <c r="K161" s="14">
        <v>0.583</v>
      </c>
      <c r="L161" s="14">
        <v>0.313</v>
      </c>
      <c r="M161" s="14">
        <v>0.049</v>
      </c>
      <c r="N161" s="14">
        <v>188</v>
      </c>
      <c r="O161" s="20">
        <f t="shared" si="15"/>
        <v>0.0912683706070287</v>
      </c>
      <c r="P161" s="20">
        <f t="shared" si="16"/>
        <v>1.86261980830671</v>
      </c>
      <c r="Q161" s="20">
        <f t="shared" si="17"/>
        <v>0.013153825</v>
      </c>
      <c r="R161" s="20">
        <f t="shared" si="18"/>
        <v>2.5625</v>
      </c>
      <c r="S161" s="23">
        <v>1</v>
      </c>
      <c r="T161" s="14">
        <v>1</v>
      </c>
      <c r="U161" s="14">
        <v>2</v>
      </c>
      <c r="V161" s="14">
        <v>1</v>
      </c>
      <c r="W161" s="14">
        <v>1</v>
      </c>
      <c r="X161" s="14">
        <v>3</v>
      </c>
      <c r="Y161" s="14">
        <v>4</v>
      </c>
      <c r="Z161" s="1">
        <v>0</v>
      </c>
      <c r="AA161" s="20">
        <v>1.034</v>
      </c>
      <c r="AB161" s="1">
        <v>1.3</v>
      </c>
      <c r="AC161" s="1">
        <v>128</v>
      </c>
      <c r="AD161" s="1">
        <v>6.74</v>
      </c>
      <c r="AE161" s="7">
        <v>0.382</v>
      </c>
      <c r="AF161" s="8">
        <v>94.1</v>
      </c>
      <c r="AG161" s="1">
        <v>335</v>
      </c>
      <c r="AH161" s="8">
        <v>12</v>
      </c>
      <c r="AI161" s="8">
        <v>37</v>
      </c>
      <c r="AJ161" s="9">
        <v>2.7</v>
      </c>
      <c r="AK161" s="8">
        <v>37.1</v>
      </c>
      <c r="AL161" s="8">
        <v>7.5</v>
      </c>
      <c r="AM161" s="8">
        <v>1.4</v>
      </c>
      <c r="AN161" s="9">
        <v>4.18</v>
      </c>
      <c r="AO161" s="8">
        <v>36.7</v>
      </c>
      <c r="AP161" s="9">
        <v>7.61</v>
      </c>
      <c r="AQ161" s="1">
        <v>5.12</v>
      </c>
      <c r="AR161" s="8">
        <v>51.5</v>
      </c>
      <c r="AS161" s="8">
        <v>305.7</v>
      </c>
      <c r="AT161" s="9">
        <v>4.88</v>
      </c>
      <c r="AU161" s="9">
        <v>1.78</v>
      </c>
      <c r="AV161" s="9">
        <v>2.12</v>
      </c>
      <c r="AW161" s="9">
        <v>1.22</v>
      </c>
      <c r="AX161" s="9">
        <v>3.52</v>
      </c>
      <c r="AY161" s="8">
        <v>144.4</v>
      </c>
      <c r="AZ161" s="8">
        <v>28.4</v>
      </c>
      <c r="BA161" s="9">
        <v>1.19</v>
      </c>
      <c r="BB161" s="9">
        <v>3.06</v>
      </c>
      <c r="BC161" s="8">
        <v>224.2</v>
      </c>
      <c r="BD161" s="32">
        <v>1023</v>
      </c>
      <c r="BE161" s="32">
        <v>1</v>
      </c>
    </row>
    <row r="162" ht="15.6" spans="1:57">
      <c r="A162" s="14">
        <v>161</v>
      </c>
      <c r="B162" s="14" t="s">
        <v>212</v>
      </c>
      <c r="C162" s="15">
        <v>0</v>
      </c>
      <c r="D162" s="14">
        <v>1</v>
      </c>
      <c r="E162" s="14">
        <v>28</v>
      </c>
      <c r="F162" s="14">
        <v>0</v>
      </c>
      <c r="G162" s="14">
        <v>0</v>
      </c>
      <c r="H162" s="14">
        <v>170</v>
      </c>
      <c r="I162" s="14">
        <v>60</v>
      </c>
      <c r="J162" s="19">
        <f t="shared" si="12"/>
        <v>20.7612456747405</v>
      </c>
      <c r="K162" s="14">
        <v>0.552</v>
      </c>
      <c r="L162" s="14">
        <v>0.357</v>
      </c>
      <c r="M162" s="14">
        <v>0.066</v>
      </c>
      <c r="N162" s="14">
        <v>310</v>
      </c>
      <c r="O162" s="20">
        <f t="shared" si="15"/>
        <v>0.102050420168067</v>
      </c>
      <c r="P162" s="20">
        <f t="shared" si="16"/>
        <v>1.54621848739496</v>
      </c>
      <c r="Q162" s="20">
        <f t="shared" si="17"/>
        <v>0.0171955</v>
      </c>
      <c r="R162" s="20">
        <f t="shared" si="18"/>
        <v>2.83333333333333</v>
      </c>
      <c r="S162" s="23">
        <v>2</v>
      </c>
      <c r="T162" s="14">
        <v>1</v>
      </c>
      <c r="U162" s="14">
        <v>1</v>
      </c>
      <c r="V162" s="14">
        <v>0</v>
      </c>
      <c r="W162" s="14">
        <v>0</v>
      </c>
      <c r="X162" s="14">
        <v>3</v>
      </c>
      <c r="Y162" s="14">
        <v>1</v>
      </c>
      <c r="Z162" s="1">
        <v>0</v>
      </c>
      <c r="AA162" s="20">
        <v>1.015</v>
      </c>
      <c r="AB162" s="1">
        <v>6.2</v>
      </c>
      <c r="AC162" s="1">
        <v>134</v>
      </c>
      <c r="AD162" s="1">
        <v>4.85</v>
      </c>
      <c r="AE162" s="7">
        <v>0.392</v>
      </c>
      <c r="AF162" s="8">
        <v>81.5</v>
      </c>
      <c r="AG162" s="1">
        <v>342</v>
      </c>
      <c r="AH162" s="8">
        <v>10</v>
      </c>
      <c r="AI162" s="8">
        <v>35</v>
      </c>
      <c r="AJ162" s="9">
        <v>2.68</v>
      </c>
      <c r="AK162" s="8">
        <v>42.2</v>
      </c>
      <c r="AL162" s="8">
        <v>11</v>
      </c>
      <c r="AM162" s="8">
        <v>4.4</v>
      </c>
      <c r="AN162" s="9">
        <v>13.39</v>
      </c>
      <c r="AO162" s="8">
        <v>14.2</v>
      </c>
      <c r="AP162" s="9">
        <v>5.27</v>
      </c>
      <c r="AQ162" s="9">
        <v>5</v>
      </c>
      <c r="AR162" s="8">
        <v>82.2</v>
      </c>
      <c r="AS162" s="8">
        <v>387.2</v>
      </c>
      <c r="AT162" s="9">
        <v>3.39</v>
      </c>
      <c r="AU162" s="9">
        <v>0.85</v>
      </c>
      <c r="AV162" s="9">
        <v>2.25</v>
      </c>
      <c r="AW162" s="9">
        <v>1.16</v>
      </c>
      <c r="AX162" s="9">
        <v>3.7</v>
      </c>
      <c r="AY162" s="8">
        <v>143</v>
      </c>
      <c r="AZ162" s="8">
        <v>28.6</v>
      </c>
      <c r="BA162" s="9">
        <v>0.9</v>
      </c>
      <c r="BB162" s="9">
        <v>1.99</v>
      </c>
      <c r="BC162" s="8">
        <v>159.3</v>
      </c>
      <c r="BD162" s="10">
        <v>3903</v>
      </c>
      <c r="BE162" s="10">
        <v>0</v>
      </c>
    </row>
    <row r="163" ht="15.6" spans="1:57">
      <c r="A163" s="14">
        <v>162</v>
      </c>
      <c r="B163" s="14" t="s">
        <v>213</v>
      </c>
      <c r="C163" s="15">
        <v>0</v>
      </c>
      <c r="D163" s="14">
        <v>1</v>
      </c>
      <c r="E163" s="14">
        <v>70</v>
      </c>
      <c r="F163" s="14">
        <v>0</v>
      </c>
      <c r="G163" s="14">
        <v>0</v>
      </c>
      <c r="H163" s="14">
        <v>162</v>
      </c>
      <c r="I163" s="14">
        <v>65</v>
      </c>
      <c r="J163" s="19">
        <f t="shared" si="12"/>
        <v>24.7675659198293</v>
      </c>
      <c r="K163" s="14">
        <v>0.472</v>
      </c>
      <c r="L163" s="14">
        <v>0.399</v>
      </c>
      <c r="M163" s="14">
        <v>0.078</v>
      </c>
      <c r="N163" s="14">
        <v>155</v>
      </c>
      <c r="O163" s="20">
        <f t="shared" si="15"/>
        <v>0.0922706766917293</v>
      </c>
      <c r="P163" s="20">
        <f t="shared" si="16"/>
        <v>1.18295739348371</v>
      </c>
      <c r="Q163" s="20">
        <f t="shared" si="17"/>
        <v>0.0161097784615385</v>
      </c>
      <c r="R163" s="20">
        <f t="shared" si="18"/>
        <v>2.49230769230769</v>
      </c>
      <c r="S163" s="23">
        <v>1</v>
      </c>
      <c r="T163" s="14">
        <v>1</v>
      </c>
      <c r="U163" s="14">
        <v>1</v>
      </c>
      <c r="V163" s="14">
        <v>0</v>
      </c>
      <c r="W163" s="14">
        <v>0</v>
      </c>
      <c r="X163" s="14">
        <v>3</v>
      </c>
      <c r="Y163" s="14">
        <v>1</v>
      </c>
      <c r="Z163" s="14">
        <v>0</v>
      </c>
      <c r="AA163" s="20">
        <v>1.013</v>
      </c>
      <c r="AB163" s="1">
        <v>4.5</v>
      </c>
      <c r="AC163" s="1">
        <v>121</v>
      </c>
      <c r="AD163" s="1">
        <v>3.96</v>
      </c>
      <c r="AE163" s="7">
        <v>0.369</v>
      </c>
      <c r="AF163" s="8">
        <v>96.6</v>
      </c>
      <c r="AG163" s="1">
        <v>328</v>
      </c>
      <c r="AH163" s="8">
        <v>10.7</v>
      </c>
      <c r="AI163" s="8">
        <v>33</v>
      </c>
      <c r="AJ163" s="9">
        <v>2.38</v>
      </c>
      <c r="AK163" s="8">
        <v>35.5</v>
      </c>
      <c r="AL163" s="8">
        <v>5.8</v>
      </c>
      <c r="AM163" s="8">
        <v>2.6</v>
      </c>
      <c r="AN163" s="9">
        <v>10.6</v>
      </c>
      <c r="AO163" s="8">
        <v>11.4</v>
      </c>
      <c r="AP163" s="9">
        <v>4.42</v>
      </c>
      <c r="AQ163" s="1">
        <v>6.18</v>
      </c>
      <c r="AR163" s="8">
        <v>53.4</v>
      </c>
      <c r="AS163" s="8">
        <v>221.6</v>
      </c>
      <c r="AT163" s="9">
        <v>3.5</v>
      </c>
      <c r="AU163" s="9">
        <v>0.51</v>
      </c>
      <c r="AV163" s="9">
        <v>2.06</v>
      </c>
      <c r="AW163" s="9">
        <v>1.28</v>
      </c>
      <c r="AX163" s="9">
        <v>3.88</v>
      </c>
      <c r="AY163" s="8">
        <v>147.2</v>
      </c>
      <c r="AZ163" s="8">
        <v>30</v>
      </c>
      <c r="BA163" s="9">
        <v>1.35</v>
      </c>
      <c r="BB163" s="9">
        <v>1.96</v>
      </c>
      <c r="BC163" s="8">
        <v>148</v>
      </c>
      <c r="BD163" s="10">
        <v>3696</v>
      </c>
      <c r="BE163" s="10">
        <v>0</v>
      </c>
    </row>
    <row r="164" ht="15.6" spans="1:57">
      <c r="A164" s="14">
        <v>163</v>
      </c>
      <c r="B164" s="14" t="s">
        <v>214</v>
      </c>
      <c r="C164" s="15">
        <v>0</v>
      </c>
      <c r="D164" s="14">
        <v>2</v>
      </c>
      <c r="E164" s="14">
        <v>55</v>
      </c>
      <c r="F164" s="14">
        <v>0</v>
      </c>
      <c r="G164" s="14">
        <v>0</v>
      </c>
      <c r="H164" s="14">
        <v>155</v>
      </c>
      <c r="I164" s="14">
        <v>42</v>
      </c>
      <c r="J164" s="19">
        <f t="shared" si="12"/>
        <v>17.4817898022893</v>
      </c>
      <c r="K164" s="14">
        <v>0.545</v>
      </c>
      <c r="L164" s="14">
        <v>0.402</v>
      </c>
      <c r="M164" s="14">
        <v>0.043</v>
      </c>
      <c r="N164" s="14">
        <v>247</v>
      </c>
      <c r="O164" s="20">
        <f t="shared" si="15"/>
        <v>0.0582960199004975</v>
      </c>
      <c r="P164" s="20">
        <f t="shared" si="16"/>
        <v>1.35572139303483</v>
      </c>
      <c r="Q164" s="20">
        <f t="shared" si="17"/>
        <v>0.0229953571428571</v>
      </c>
      <c r="R164" s="20">
        <f t="shared" si="18"/>
        <v>3.69047619047619</v>
      </c>
      <c r="S164" s="23">
        <v>1</v>
      </c>
      <c r="T164" s="14">
        <v>1</v>
      </c>
      <c r="U164" s="14">
        <v>1</v>
      </c>
      <c r="V164" s="14">
        <v>0</v>
      </c>
      <c r="W164" s="14">
        <v>0</v>
      </c>
      <c r="X164" s="14">
        <v>3</v>
      </c>
      <c r="Y164" s="14">
        <v>1</v>
      </c>
      <c r="Z164" s="1">
        <v>0</v>
      </c>
      <c r="AA164" s="20">
        <v>1.017</v>
      </c>
      <c r="AB164" s="1">
        <v>4.4</v>
      </c>
      <c r="AC164" s="1">
        <v>122</v>
      </c>
      <c r="AD164" s="1">
        <v>6.29</v>
      </c>
      <c r="AE164" s="7">
        <v>0.356</v>
      </c>
      <c r="AF164" s="8">
        <v>92</v>
      </c>
      <c r="AG164" s="1">
        <v>343</v>
      </c>
      <c r="AH164" s="8">
        <v>9.4</v>
      </c>
      <c r="AI164" s="8">
        <v>33.9</v>
      </c>
      <c r="AJ164" s="9">
        <v>2.99</v>
      </c>
      <c r="AK164" s="8">
        <v>46.8</v>
      </c>
      <c r="AL164" s="8">
        <v>7.5</v>
      </c>
      <c r="AM164" s="8">
        <v>1.4</v>
      </c>
      <c r="AN164" s="9">
        <v>14.8</v>
      </c>
      <c r="AO164" s="8">
        <v>18.2</v>
      </c>
      <c r="AP164" s="9">
        <v>4.97</v>
      </c>
      <c r="AQ164" s="1">
        <v>4.82</v>
      </c>
      <c r="AR164" s="8">
        <v>45.9</v>
      </c>
      <c r="AS164" s="8">
        <v>168.4</v>
      </c>
      <c r="AT164" s="9">
        <v>6.37</v>
      </c>
      <c r="AU164" s="9">
        <v>3.56</v>
      </c>
      <c r="AV164" s="9">
        <v>2.41</v>
      </c>
      <c r="AW164" s="9">
        <v>1.51</v>
      </c>
      <c r="AX164" s="9">
        <v>4.07</v>
      </c>
      <c r="AY164" s="8">
        <v>144</v>
      </c>
      <c r="AZ164" s="8">
        <v>27</v>
      </c>
      <c r="BA164" s="9">
        <v>1.07</v>
      </c>
      <c r="BB164" s="9">
        <v>4.25</v>
      </c>
      <c r="BC164" s="8">
        <v>225.5</v>
      </c>
      <c r="BD164" s="10">
        <v>3683</v>
      </c>
      <c r="BE164" s="32">
        <v>0</v>
      </c>
    </row>
    <row r="165" ht="15.6" spans="1:57">
      <c r="A165" s="14">
        <v>164</v>
      </c>
      <c r="B165" s="14" t="s">
        <v>215</v>
      </c>
      <c r="C165" s="15">
        <v>1</v>
      </c>
      <c r="D165" s="14">
        <v>1</v>
      </c>
      <c r="E165" s="14">
        <v>54</v>
      </c>
      <c r="F165" s="14">
        <v>0</v>
      </c>
      <c r="G165" s="14">
        <v>0</v>
      </c>
      <c r="H165" s="14">
        <v>166</v>
      </c>
      <c r="I165" s="14">
        <v>67</v>
      </c>
      <c r="J165" s="19">
        <f t="shared" si="12"/>
        <v>24.3141239657425</v>
      </c>
      <c r="K165" s="14">
        <v>0.562</v>
      </c>
      <c r="L165" s="14">
        <v>0.346</v>
      </c>
      <c r="M165" s="20">
        <v>0.07</v>
      </c>
      <c r="N165" s="14">
        <v>255</v>
      </c>
      <c r="O165" s="20">
        <f t="shared" si="15"/>
        <v>0.113699421965318</v>
      </c>
      <c r="P165" s="20">
        <f t="shared" si="16"/>
        <v>1.6242774566474</v>
      </c>
      <c r="Q165" s="20">
        <f t="shared" si="17"/>
        <v>0.0142304119402985</v>
      </c>
      <c r="R165" s="20">
        <f t="shared" si="18"/>
        <v>2.47761194029851</v>
      </c>
      <c r="S165" s="23">
        <v>3</v>
      </c>
      <c r="T165" s="14">
        <v>1</v>
      </c>
      <c r="U165" s="14">
        <v>1</v>
      </c>
      <c r="V165" s="14">
        <v>2</v>
      </c>
      <c r="W165" s="14">
        <v>1</v>
      </c>
      <c r="X165" s="14">
        <v>2</v>
      </c>
      <c r="Y165" s="14">
        <v>4</v>
      </c>
      <c r="Z165" s="14">
        <v>0</v>
      </c>
      <c r="AA165" s="20">
        <v>1.014</v>
      </c>
      <c r="AB165" s="1">
        <v>0.5</v>
      </c>
      <c r="AC165" s="1">
        <v>155</v>
      </c>
      <c r="AD165" s="1">
        <v>4.88</v>
      </c>
      <c r="AE165" s="7">
        <v>0.468</v>
      </c>
      <c r="AF165" s="8">
        <v>94.5</v>
      </c>
      <c r="AG165" s="1">
        <v>331</v>
      </c>
      <c r="AH165" s="8">
        <v>11.7</v>
      </c>
      <c r="AI165" s="8">
        <v>38.7</v>
      </c>
      <c r="AJ165" s="9">
        <v>3.16</v>
      </c>
      <c r="AK165" s="8">
        <v>45</v>
      </c>
      <c r="AL165" s="8">
        <v>11.9</v>
      </c>
      <c r="AM165" s="8">
        <v>3.8</v>
      </c>
      <c r="AN165" s="9">
        <v>11.8</v>
      </c>
      <c r="AO165" s="8">
        <v>59.6</v>
      </c>
      <c r="AP165" s="9">
        <v>4.9</v>
      </c>
      <c r="AQ165" s="1">
        <v>4.46</v>
      </c>
      <c r="AR165" s="8">
        <v>85</v>
      </c>
      <c r="AS165" s="8">
        <v>325.9</v>
      </c>
      <c r="AT165" s="9">
        <v>5.84</v>
      </c>
      <c r="AU165" s="9">
        <v>1.24</v>
      </c>
      <c r="AV165" s="9">
        <v>2.42</v>
      </c>
      <c r="AW165" s="9">
        <v>1.41</v>
      </c>
      <c r="AX165" s="9">
        <v>4.07</v>
      </c>
      <c r="AY165" s="8">
        <v>142.1</v>
      </c>
      <c r="AZ165" s="8">
        <v>28.4</v>
      </c>
      <c r="BA165" s="9">
        <v>1.07</v>
      </c>
      <c r="BB165" s="9">
        <v>4</v>
      </c>
      <c r="BC165" s="8">
        <v>166</v>
      </c>
      <c r="BD165" s="32">
        <v>2427</v>
      </c>
      <c r="BE165" s="32">
        <v>1</v>
      </c>
    </row>
    <row r="166" ht="15.6" spans="1:57">
      <c r="A166" s="14">
        <v>165</v>
      </c>
      <c r="B166" s="14" t="s">
        <v>216</v>
      </c>
      <c r="C166" s="15">
        <v>1</v>
      </c>
      <c r="D166" s="14">
        <v>1</v>
      </c>
      <c r="E166" s="14">
        <v>50</v>
      </c>
      <c r="F166" s="14">
        <v>0</v>
      </c>
      <c r="G166" s="14">
        <v>0</v>
      </c>
      <c r="H166" s="14">
        <v>163</v>
      </c>
      <c r="I166" s="14">
        <v>58</v>
      </c>
      <c r="J166" s="19">
        <f t="shared" si="12"/>
        <v>21.8299521999323</v>
      </c>
      <c r="K166" s="14">
        <v>0.698</v>
      </c>
      <c r="L166" s="14">
        <v>0.218</v>
      </c>
      <c r="M166" s="14">
        <v>0.062</v>
      </c>
      <c r="N166" s="14">
        <v>268</v>
      </c>
      <c r="O166" s="20">
        <f t="shared" si="15"/>
        <v>0.19851376146789</v>
      </c>
      <c r="P166" s="20">
        <f t="shared" si="16"/>
        <v>3.20183486238532</v>
      </c>
      <c r="Q166" s="20">
        <f t="shared" si="17"/>
        <v>0.00998627931034483</v>
      </c>
      <c r="R166" s="20">
        <f t="shared" si="18"/>
        <v>2.81034482758621</v>
      </c>
      <c r="S166" s="23">
        <v>1</v>
      </c>
      <c r="T166" s="14">
        <v>1</v>
      </c>
      <c r="U166" s="14">
        <v>2</v>
      </c>
      <c r="V166" s="14">
        <v>1</v>
      </c>
      <c r="W166" s="14">
        <v>1</v>
      </c>
      <c r="X166" s="14">
        <v>2</v>
      </c>
      <c r="Y166" s="14">
        <v>4</v>
      </c>
      <c r="Z166" s="14">
        <v>0</v>
      </c>
      <c r="AA166" s="20">
        <v>1.008</v>
      </c>
      <c r="AB166" s="1">
        <v>0.4</v>
      </c>
      <c r="AC166" s="1">
        <v>155</v>
      </c>
      <c r="AD166" s="1">
        <v>7.15</v>
      </c>
      <c r="AE166" s="7">
        <v>0.456</v>
      </c>
      <c r="AF166" s="8">
        <v>98.1</v>
      </c>
      <c r="AG166" s="1">
        <v>340</v>
      </c>
      <c r="AH166" s="8">
        <v>10.4</v>
      </c>
      <c r="AI166" s="8">
        <v>35.5</v>
      </c>
      <c r="AJ166" s="9">
        <v>4</v>
      </c>
      <c r="AK166" s="8">
        <v>44.6</v>
      </c>
      <c r="AL166" s="8">
        <v>10.9</v>
      </c>
      <c r="AM166" s="8">
        <v>3.9</v>
      </c>
      <c r="AN166" s="9">
        <v>20.6</v>
      </c>
      <c r="AO166" s="8">
        <v>80.1</v>
      </c>
      <c r="AP166" s="9">
        <v>4.6</v>
      </c>
      <c r="AQ166" s="1">
        <v>4.48</v>
      </c>
      <c r="AR166" s="8">
        <v>62</v>
      </c>
      <c r="AS166" s="8">
        <v>366.1</v>
      </c>
      <c r="AT166" s="9">
        <v>4.45</v>
      </c>
      <c r="AU166" s="9">
        <v>1.29</v>
      </c>
      <c r="AV166" s="9">
        <v>2.45</v>
      </c>
      <c r="AW166" s="9">
        <v>1.46</v>
      </c>
      <c r="AX166" s="9">
        <v>3.99</v>
      </c>
      <c r="AY166" s="8">
        <v>141.2</v>
      </c>
      <c r="AZ166" s="8">
        <v>28.3</v>
      </c>
      <c r="BA166" s="9">
        <v>1.11</v>
      </c>
      <c r="BB166" s="9">
        <v>2.65</v>
      </c>
      <c r="BC166" s="8">
        <v>163.6</v>
      </c>
      <c r="BD166" s="32">
        <v>1527</v>
      </c>
      <c r="BE166" s="32">
        <v>1</v>
      </c>
    </row>
    <row r="167" ht="15.6" spans="1:57">
      <c r="A167" s="14">
        <v>166</v>
      </c>
      <c r="B167" s="14" t="s">
        <v>217</v>
      </c>
      <c r="C167" s="15">
        <v>1</v>
      </c>
      <c r="D167" s="14">
        <v>2</v>
      </c>
      <c r="E167" s="14">
        <v>69</v>
      </c>
      <c r="F167" s="14">
        <v>1</v>
      </c>
      <c r="G167" s="14">
        <v>1</v>
      </c>
      <c r="H167" s="14">
        <v>156</v>
      </c>
      <c r="I167" s="14">
        <v>59</v>
      </c>
      <c r="J167" s="19">
        <f t="shared" si="12"/>
        <v>24.2439184746877</v>
      </c>
      <c r="K167" s="14">
        <v>0.693</v>
      </c>
      <c r="L167" s="14">
        <v>0.206</v>
      </c>
      <c r="M167" s="14">
        <v>0.068</v>
      </c>
      <c r="N167" s="14">
        <v>395</v>
      </c>
      <c r="O167" s="20">
        <f t="shared" si="15"/>
        <v>0.228757281553398</v>
      </c>
      <c r="P167" s="20">
        <f t="shared" si="16"/>
        <v>3.36407766990291</v>
      </c>
      <c r="Q167" s="20">
        <f t="shared" si="17"/>
        <v>0.00849697627118644</v>
      </c>
      <c r="R167" s="20">
        <f t="shared" si="18"/>
        <v>2.64406779661017</v>
      </c>
      <c r="S167" s="23">
        <v>1</v>
      </c>
      <c r="T167" s="14">
        <v>1</v>
      </c>
      <c r="U167" s="14">
        <v>2</v>
      </c>
      <c r="V167" s="14">
        <v>1</v>
      </c>
      <c r="W167" s="14">
        <v>1</v>
      </c>
      <c r="X167" s="14">
        <v>3</v>
      </c>
      <c r="Y167" s="14">
        <v>4</v>
      </c>
      <c r="Z167" s="1">
        <v>0</v>
      </c>
      <c r="AA167" s="20">
        <v>1.02</v>
      </c>
      <c r="AB167" s="1">
        <v>4.4</v>
      </c>
      <c r="AC167" s="1">
        <v>118</v>
      </c>
      <c r="AD167" s="1">
        <v>10.64</v>
      </c>
      <c r="AE167" s="7">
        <v>0.359</v>
      </c>
      <c r="AF167" s="8">
        <v>96.5</v>
      </c>
      <c r="AG167" s="1">
        <v>329</v>
      </c>
      <c r="AH167" s="8">
        <v>10</v>
      </c>
      <c r="AI167" s="8">
        <v>30.7</v>
      </c>
      <c r="AJ167" s="9">
        <v>5.12</v>
      </c>
      <c r="AK167" s="8">
        <v>38.9</v>
      </c>
      <c r="AL167" s="8">
        <v>9.9</v>
      </c>
      <c r="AM167" s="8">
        <v>2.9</v>
      </c>
      <c r="AN167" s="9">
        <v>23.8</v>
      </c>
      <c r="AO167" s="8">
        <v>9.3</v>
      </c>
      <c r="AP167" s="9">
        <v>3.72</v>
      </c>
      <c r="AQ167" s="1">
        <v>6.65</v>
      </c>
      <c r="AR167" s="8">
        <v>90.3</v>
      </c>
      <c r="AS167" s="8">
        <v>254.1</v>
      </c>
      <c r="AT167" s="9">
        <v>5.1</v>
      </c>
      <c r="AU167" s="9">
        <v>1.12</v>
      </c>
      <c r="AV167" s="9">
        <v>2.53</v>
      </c>
      <c r="AW167" s="9">
        <v>1.07</v>
      </c>
      <c r="AX167" s="9">
        <v>2.86</v>
      </c>
      <c r="AY167" s="8">
        <v>145.2</v>
      </c>
      <c r="AZ167" s="8">
        <v>30.8</v>
      </c>
      <c r="BA167" s="9">
        <v>1.68</v>
      </c>
      <c r="BB167" s="9">
        <v>2.81</v>
      </c>
      <c r="BC167" s="8">
        <v>156</v>
      </c>
      <c r="BD167" s="32">
        <v>763</v>
      </c>
      <c r="BE167" s="32">
        <v>1</v>
      </c>
    </row>
    <row r="168" ht="15.6" spans="1:57">
      <c r="A168" s="14">
        <v>167</v>
      </c>
      <c r="B168" s="14" t="s">
        <v>218</v>
      </c>
      <c r="C168" s="15">
        <v>1</v>
      </c>
      <c r="D168" s="14">
        <v>1</v>
      </c>
      <c r="E168" s="14">
        <v>56</v>
      </c>
      <c r="F168" s="14">
        <v>0</v>
      </c>
      <c r="G168" s="14">
        <v>0</v>
      </c>
      <c r="H168" s="14">
        <v>170</v>
      </c>
      <c r="I168" s="14">
        <v>78</v>
      </c>
      <c r="J168" s="19">
        <f t="shared" si="12"/>
        <v>26.9896193771626</v>
      </c>
      <c r="K168" s="14">
        <v>0.725</v>
      </c>
      <c r="L168" s="14">
        <v>0.163</v>
      </c>
      <c r="M168" s="14">
        <v>0.095</v>
      </c>
      <c r="N168" s="14">
        <v>203</v>
      </c>
      <c r="O168" s="20">
        <f t="shared" si="15"/>
        <v>0.422546012269939</v>
      </c>
      <c r="P168" s="20">
        <f t="shared" si="16"/>
        <v>4.4478527607362</v>
      </c>
      <c r="Q168" s="20">
        <f t="shared" si="17"/>
        <v>0.00603935897435897</v>
      </c>
      <c r="R168" s="20">
        <f t="shared" si="18"/>
        <v>2.17948717948718</v>
      </c>
      <c r="S168" s="23">
        <v>1</v>
      </c>
      <c r="T168" s="14">
        <v>2</v>
      </c>
      <c r="U168" s="14">
        <v>2</v>
      </c>
      <c r="V168" s="14">
        <v>2</v>
      </c>
      <c r="W168" s="14">
        <v>1</v>
      </c>
      <c r="X168" s="14">
        <v>2</v>
      </c>
      <c r="Y168" s="14">
        <v>4</v>
      </c>
      <c r="Z168" s="14">
        <v>0</v>
      </c>
      <c r="AA168" s="20">
        <v>1.023</v>
      </c>
      <c r="AB168" s="1">
        <v>1.9</v>
      </c>
      <c r="AC168" s="1">
        <v>127</v>
      </c>
      <c r="AD168" s="1">
        <v>11.65</v>
      </c>
      <c r="AE168" s="7">
        <v>0.375</v>
      </c>
      <c r="AF168" s="8">
        <v>97.2</v>
      </c>
      <c r="AG168" s="1">
        <v>339</v>
      </c>
      <c r="AH168" s="8">
        <v>10.7</v>
      </c>
      <c r="AI168" s="8">
        <v>30.4</v>
      </c>
      <c r="AJ168" s="9">
        <v>3.5</v>
      </c>
      <c r="AK168" s="8">
        <v>41.8</v>
      </c>
      <c r="AL168" s="8">
        <v>13.7</v>
      </c>
      <c r="AM168" s="8">
        <v>4</v>
      </c>
      <c r="AN168" s="9">
        <v>18.7</v>
      </c>
      <c r="AO168" s="8">
        <v>22.2</v>
      </c>
      <c r="AP168" s="9">
        <v>4.58</v>
      </c>
      <c r="AQ168" s="1">
        <v>5.33</v>
      </c>
      <c r="AR168" s="8">
        <v>83.6</v>
      </c>
      <c r="AS168" s="8">
        <v>417.4</v>
      </c>
      <c r="AT168" s="9">
        <v>5.14</v>
      </c>
      <c r="AU168" s="9">
        <v>1.58</v>
      </c>
      <c r="AV168" s="9">
        <v>2.39</v>
      </c>
      <c r="AW168" s="9">
        <v>1.17</v>
      </c>
      <c r="AX168" s="9">
        <v>4.19</v>
      </c>
      <c r="AY168" s="8">
        <v>144.6</v>
      </c>
      <c r="AZ168" s="8">
        <v>24.7</v>
      </c>
      <c r="BA168" s="9">
        <v>0.86</v>
      </c>
      <c r="BB168" s="9">
        <v>3.48</v>
      </c>
      <c r="BC168" s="8">
        <v>160.6</v>
      </c>
      <c r="BD168" s="32">
        <v>1628</v>
      </c>
      <c r="BE168" s="32">
        <v>1</v>
      </c>
    </row>
    <row r="169" ht="15.6" spans="1:57">
      <c r="A169" s="14">
        <v>168</v>
      </c>
      <c r="B169" s="14" t="s">
        <v>219</v>
      </c>
      <c r="C169" s="15">
        <v>0</v>
      </c>
      <c r="D169" s="14">
        <v>2</v>
      </c>
      <c r="E169" s="14">
        <v>62</v>
      </c>
      <c r="F169" s="14">
        <v>0</v>
      </c>
      <c r="G169" s="14">
        <v>0</v>
      </c>
      <c r="H169" s="14">
        <v>162</v>
      </c>
      <c r="I169" s="14">
        <v>46</v>
      </c>
      <c r="J169" s="19">
        <f t="shared" si="12"/>
        <v>17.5278158817253</v>
      </c>
      <c r="K169" s="14">
        <v>0.476</v>
      </c>
      <c r="L169" s="14">
        <v>0.436</v>
      </c>
      <c r="M169" s="14">
        <v>0.061</v>
      </c>
      <c r="N169" s="14">
        <v>205</v>
      </c>
      <c r="O169" s="20">
        <f t="shared" si="15"/>
        <v>0.0665963302752294</v>
      </c>
      <c r="P169" s="20">
        <f t="shared" si="16"/>
        <v>1.09174311926605</v>
      </c>
      <c r="Q169" s="20">
        <f t="shared" si="17"/>
        <v>0.024874747826087</v>
      </c>
      <c r="R169" s="20">
        <f t="shared" si="18"/>
        <v>3.52173913043478</v>
      </c>
      <c r="S169" s="23">
        <v>1</v>
      </c>
      <c r="T169" s="14">
        <v>1</v>
      </c>
      <c r="U169" s="14">
        <v>2</v>
      </c>
      <c r="V169" s="14">
        <v>0</v>
      </c>
      <c r="W169" s="14">
        <v>0</v>
      </c>
      <c r="X169" s="14">
        <v>3</v>
      </c>
      <c r="Y169" s="14">
        <v>2</v>
      </c>
      <c r="Z169" s="1">
        <v>0</v>
      </c>
      <c r="AA169" s="20">
        <v>1.017</v>
      </c>
      <c r="AB169" s="1">
        <v>3.7</v>
      </c>
      <c r="AC169" s="1">
        <v>133</v>
      </c>
      <c r="AD169" s="1">
        <v>3.28</v>
      </c>
      <c r="AE169" s="7">
        <v>0.402</v>
      </c>
      <c r="AF169" s="8">
        <v>99.3</v>
      </c>
      <c r="AG169" s="1">
        <v>331</v>
      </c>
      <c r="AH169" s="8">
        <v>9.9</v>
      </c>
      <c r="AI169" s="8">
        <v>31.2</v>
      </c>
      <c r="AJ169" s="9">
        <v>3.15</v>
      </c>
      <c r="AK169" s="8">
        <v>44.9</v>
      </c>
      <c r="AL169" s="8">
        <v>23.6</v>
      </c>
      <c r="AM169" s="8">
        <v>5.4</v>
      </c>
      <c r="AN169" s="9">
        <v>9.9</v>
      </c>
      <c r="AO169" s="8">
        <v>26.2</v>
      </c>
      <c r="AP169" s="9">
        <v>4.56</v>
      </c>
      <c r="AQ169" s="1">
        <v>3.41</v>
      </c>
      <c r="AR169" s="8">
        <v>61.8</v>
      </c>
      <c r="AS169" s="8">
        <v>214</v>
      </c>
      <c r="AT169" s="9">
        <v>5.43</v>
      </c>
      <c r="AU169" s="9">
        <v>1.11</v>
      </c>
      <c r="AV169" s="9">
        <v>2.44</v>
      </c>
      <c r="AW169" s="9">
        <v>1.36</v>
      </c>
      <c r="AX169" s="9">
        <v>3.76</v>
      </c>
      <c r="AY169" s="8">
        <v>143.7</v>
      </c>
      <c r="AZ169" s="8">
        <v>28.7</v>
      </c>
      <c r="BA169" s="9">
        <v>2.07</v>
      </c>
      <c r="BB169" s="9">
        <v>2.88</v>
      </c>
      <c r="BC169" s="8">
        <v>191.6</v>
      </c>
      <c r="BD169" s="10">
        <v>2153</v>
      </c>
      <c r="BE169" s="10">
        <v>1</v>
      </c>
    </row>
    <row r="170" ht="15.6" spans="1:57">
      <c r="A170" s="14">
        <v>169</v>
      </c>
      <c r="B170" s="14" t="s">
        <v>220</v>
      </c>
      <c r="C170" s="15">
        <v>1</v>
      </c>
      <c r="D170" s="14">
        <v>1</v>
      </c>
      <c r="E170" s="14">
        <v>65</v>
      </c>
      <c r="F170" s="14">
        <v>0</v>
      </c>
      <c r="G170" s="14">
        <v>0</v>
      </c>
      <c r="H170" s="14">
        <v>189</v>
      </c>
      <c r="I170" s="14">
        <v>77</v>
      </c>
      <c r="J170" s="19">
        <f t="shared" si="12"/>
        <v>21.5559474818734</v>
      </c>
      <c r="K170" s="14">
        <v>0.586</v>
      </c>
      <c r="L170" s="14">
        <v>0.273</v>
      </c>
      <c r="M170" s="14">
        <v>0.078</v>
      </c>
      <c r="N170" s="14">
        <v>209</v>
      </c>
      <c r="O170" s="20">
        <f t="shared" si="15"/>
        <v>0.167428571428571</v>
      </c>
      <c r="P170" s="20">
        <f t="shared" si="16"/>
        <v>2.14652014652015</v>
      </c>
      <c r="Q170" s="20">
        <f t="shared" si="17"/>
        <v>0.0126647181818182</v>
      </c>
      <c r="R170" s="20">
        <f t="shared" si="18"/>
        <v>2.45454545454545</v>
      </c>
      <c r="S170" s="23">
        <v>1</v>
      </c>
      <c r="T170" s="14">
        <v>2</v>
      </c>
      <c r="U170" s="14">
        <v>2</v>
      </c>
      <c r="V170" s="14">
        <v>0</v>
      </c>
      <c r="W170" s="14">
        <v>0</v>
      </c>
      <c r="X170" s="14">
        <v>2</v>
      </c>
      <c r="Y170" s="14">
        <v>2</v>
      </c>
      <c r="Z170" s="14">
        <v>0</v>
      </c>
      <c r="AA170" s="20">
        <v>1.015</v>
      </c>
      <c r="AB170" s="1">
        <v>0.4</v>
      </c>
      <c r="AC170" s="1">
        <v>133</v>
      </c>
      <c r="AD170" s="9">
        <v>3.7</v>
      </c>
      <c r="AE170" s="7">
        <v>0.386</v>
      </c>
      <c r="AF170" s="8">
        <v>88.3</v>
      </c>
      <c r="AG170" s="1">
        <v>345</v>
      </c>
      <c r="AH170" s="8">
        <v>10.5</v>
      </c>
      <c r="AI170" s="8">
        <v>40</v>
      </c>
      <c r="AJ170" s="9">
        <v>2.32</v>
      </c>
      <c r="AK170" s="8">
        <v>42.3</v>
      </c>
      <c r="AL170" s="8">
        <v>11</v>
      </c>
      <c r="AM170" s="8">
        <v>3.7</v>
      </c>
      <c r="AN170" s="9">
        <v>12.4</v>
      </c>
      <c r="AO170" s="8">
        <v>24.3</v>
      </c>
      <c r="AP170" s="9">
        <v>5.15</v>
      </c>
      <c r="AQ170" s="1">
        <v>4.77</v>
      </c>
      <c r="AR170" s="8">
        <v>75.5</v>
      </c>
      <c r="AS170" s="8">
        <v>454.5</v>
      </c>
      <c r="AT170" s="9">
        <v>4.28</v>
      </c>
      <c r="AU170" s="9">
        <v>1.7</v>
      </c>
      <c r="AV170" s="9">
        <v>2.05</v>
      </c>
      <c r="AW170" s="9">
        <v>0.79</v>
      </c>
      <c r="AX170" s="9">
        <v>3.62</v>
      </c>
      <c r="AY170" s="8">
        <v>143</v>
      </c>
      <c r="AZ170" s="8">
        <v>28.8</v>
      </c>
      <c r="BA170" s="9">
        <v>1.06</v>
      </c>
      <c r="BB170" s="9">
        <v>2.81</v>
      </c>
      <c r="BC170" s="8">
        <v>198.1</v>
      </c>
      <c r="BD170" s="10">
        <v>1726</v>
      </c>
      <c r="BE170" s="32">
        <v>1</v>
      </c>
    </row>
    <row r="171" ht="15.6" spans="1:57">
      <c r="A171" s="14">
        <v>170</v>
      </c>
      <c r="B171" s="14" t="s">
        <v>221</v>
      </c>
      <c r="C171" s="15">
        <v>0</v>
      </c>
      <c r="D171" s="14">
        <v>1</v>
      </c>
      <c r="E171" s="14">
        <v>43</v>
      </c>
      <c r="F171" s="14">
        <v>0</v>
      </c>
      <c r="G171" s="14">
        <v>0</v>
      </c>
      <c r="H171" s="14">
        <v>160</v>
      </c>
      <c r="I171" s="14">
        <v>58</v>
      </c>
      <c r="J171" s="19">
        <f t="shared" si="12"/>
        <v>22.65625</v>
      </c>
      <c r="K171" s="14">
        <v>0.592</v>
      </c>
      <c r="L171" s="14">
        <v>0.34</v>
      </c>
      <c r="M171" s="14">
        <v>0.046</v>
      </c>
      <c r="N171" s="14">
        <v>313</v>
      </c>
      <c r="O171" s="20">
        <f t="shared" si="15"/>
        <v>0.0800941176470588</v>
      </c>
      <c r="P171" s="20">
        <f t="shared" si="16"/>
        <v>1.74117647058824</v>
      </c>
      <c r="Q171" s="20">
        <f t="shared" si="17"/>
        <v>0.0150068965517241</v>
      </c>
      <c r="R171" s="20">
        <f t="shared" si="18"/>
        <v>2.75862068965517</v>
      </c>
      <c r="S171" s="23">
        <v>2</v>
      </c>
      <c r="T171" s="14">
        <v>2</v>
      </c>
      <c r="U171" s="14">
        <v>3</v>
      </c>
      <c r="V171" s="14">
        <v>0</v>
      </c>
      <c r="W171" s="14">
        <v>0</v>
      </c>
      <c r="X171" s="14">
        <v>2</v>
      </c>
      <c r="Y171" s="14">
        <v>3</v>
      </c>
      <c r="Z171" s="14">
        <v>1</v>
      </c>
      <c r="AA171" s="20">
        <v>1.013</v>
      </c>
      <c r="AB171" s="1">
        <v>3.8</v>
      </c>
      <c r="AC171" s="1">
        <v>150</v>
      </c>
      <c r="AD171" s="1">
        <v>9.42</v>
      </c>
      <c r="AE171" s="7">
        <v>0.451</v>
      </c>
      <c r="AF171" s="8">
        <v>93.6</v>
      </c>
      <c r="AG171" s="1">
        <v>313</v>
      </c>
      <c r="AH171" s="8">
        <v>10.3</v>
      </c>
      <c r="AI171" s="8">
        <v>37.5</v>
      </c>
      <c r="AJ171" s="9">
        <v>4.27</v>
      </c>
      <c r="AK171" s="8">
        <v>47.6</v>
      </c>
      <c r="AL171" s="8">
        <v>9.6</v>
      </c>
      <c r="AM171" s="8">
        <v>1.8</v>
      </c>
      <c r="AN171" s="9">
        <v>5.6</v>
      </c>
      <c r="AO171" s="8">
        <v>45.7</v>
      </c>
      <c r="AP171" s="9">
        <v>4.74</v>
      </c>
      <c r="AQ171" s="1">
        <v>4.11</v>
      </c>
      <c r="AR171" s="8">
        <v>78.9</v>
      </c>
      <c r="AS171" s="8">
        <v>403.2</v>
      </c>
      <c r="AT171" s="9">
        <v>7.1</v>
      </c>
      <c r="AU171" s="9">
        <v>1.62</v>
      </c>
      <c r="AV171" s="9">
        <v>2.6</v>
      </c>
      <c r="AW171" s="9">
        <v>1.34</v>
      </c>
      <c r="AX171" s="9">
        <v>4.39</v>
      </c>
      <c r="AY171" s="8">
        <v>143.6</v>
      </c>
      <c r="AZ171" s="8">
        <v>27.4</v>
      </c>
      <c r="BA171" s="9">
        <v>1.79</v>
      </c>
      <c r="BB171" s="9">
        <v>4.38</v>
      </c>
      <c r="BC171" s="8">
        <v>101</v>
      </c>
      <c r="BD171" s="10">
        <v>3620</v>
      </c>
      <c r="BE171" s="10">
        <v>0</v>
      </c>
    </row>
    <row r="172" ht="15.6" spans="1:57">
      <c r="A172" s="14">
        <v>171</v>
      </c>
      <c r="B172" s="14" t="s">
        <v>222</v>
      </c>
      <c r="C172" s="15">
        <v>0</v>
      </c>
      <c r="D172" s="14">
        <v>2</v>
      </c>
      <c r="E172" s="14">
        <v>54</v>
      </c>
      <c r="F172" s="14">
        <v>1</v>
      </c>
      <c r="G172" s="14">
        <v>0</v>
      </c>
      <c r="H172" s="14">
        <v>160</v>
      </c>
      <c r="I172" s="14">
        <v>70</v>
      </c>
      <c r="J172" s="19">
        <f t="shared" si="12"/>
        <v>27.34375</v>
      </c>
      <c r="K172" s="14">
        <v>0.566</v>
      </c>
      <c r="L172" s="14">
        <v>0.377</v>
      </c>
      <c r="M172" s="14">
        <v>0.048</v>
      </c>
      <c r="N172" s="14">
        <v>187</v>
      </c>
      <c r="O172" s="20">
        <f t="shared" si="15"/>
        <v>0.0720636604774536</v>
      </c>
      <c r="P172" s="20">
        <f t="shared" si="16"/>
        <v>1.50132625994695</v>
      </c>
      <c r="Q172" s="20">
        <f t="shared" si="17"/>
        <v>0.0137874285714286</v>
      </c>
      <c r="R172" s="20">
        <f t="shared" si="18"/>
        <v>2.28571428571429</v>
      </c>
      <c r="S172" s="23">
        <v>1</v>
      </c>
      <c r="T172" s="14">
        <v>1</v>
      </c>
      <c r="U172" s="14">
        <v>1</v>
      </c>
      <c r="V172" s="14">
        <v>0</v>
      </c>
      <c r="W172" s="14">
        <v>0</v>
      </c>
      <c r="X172" s="14">
        <v>3</v>
      </c>
      <c r="Y172" s="14">
        <v>1</v>
      </c>
      <c r="Z172" s="1">
        <v>0</v>
      </c>
      <c r="AA172" s="20">
        <v>1.019</v>
      </c>
      <c r="AB172" s="1">
        <v>6.1</v>
      </c>
      <c r="AC172" s="1">
        <v>150</v>
      </c>
      <c r="AD172" s="9">
        <v>5.6</v>
      </c>
      <c r="AE172" s="7">
        <v>0.437</v>
      </c>
      <c r="AF172" s="8">
        <v>91</v>
      </c>
      <c r="AG172" s="1">
        <v>343</v>
      </c>
      <c r="AH172" s="8">
        <v>11.8</v>
      </c>
      <c r="AI172" s="8">
        <v>36.5</v>
      </c>
      <c r="AJ172" s="9">
        <v>3.66</v>
      </c>
      <c r="AK172" s="8">
        <v>45.8</v>
      </c>
      <c r="AL172" s="8">
        <v>10.9</v>
      </c>
      <c r="AM172" s="8">
        <v>2.1</v>
      </c>
      <c r="AN172" s="9">
        <v>10.9</v>
      </c>
      <c r="AO172" s="8">
        <v>16</v>
      </c>
      <c r="AP172" s="9">
        <v>4.89</v>
      </c>
      <c r="AQ172" s="1">
        <v>5.52</v>
      </c>
      <c r="AR172" s="8">
        <v>65.3</v>
      </c>
      <c r="AS172" s="8">
        <v>239.1</v>
      </c>
      <c r="AT172" s="9">
        <v>6.44</v>
      </c>
      <c r="AU172" s="9">
        <v>2.06</v>
      </c>
      <c r="AV172" s="9">
        <v>2.46</v>
      </c>
      <c r="AW172" s="9">
        <v>1.26</v>
      </c>
      <c r="AX172" s="9">
        <v>4.03</v>
      </c>
      <c r="AY172" s="8">
        <v>143.9</v>
      </c>
      <c r="AZ172" s="8">
        <v>24.6</v>
      </c>
      <c r="BA172" s="9">
        <v>1.2</v>
      </c>
      <c r="BB172" s="9">
        <v>4.42</v>
      </c>
      <c r="BC172" s="8">
        <v>173.9</v>
      </c>
      <c r="BD172" s="10">
        <v>3625</v>
      </c>
      <c r="BE172" s="32">
        <v>0</v>
      </c>
    </row>
    <row r="173" ht="15.6" spans="1:57">
      <c r="A173" s="14">
        <v>172</v>
      </c>
      <c r="B173" s="14" t="s">
        <v>223</v>
      </c>
      <c r="C173" s="15">
        <v>0</v>
      </c>
      <c r="D173" s="14">
        <v>1</v>
      </c>
      <c r="E173" s="14">
        <v>59</v>
      </c>
      <c r="F173" s="14">
        <v>0</v>
      </c>
      <c r="G173" s="14">
        <v>0</v>
      </c>
      <c r="H173" s="14">
        <v>163</v>
      </c>
      <c r="I173" s="14">
        <v>78</v>
      </c>
      <c r="J173" s="19">
        <f t="shared" si="12"/>
        <v>29.3575219240468</v>
      </c>
      <c r="K173" s="14">
        <v>0.463</v>
      </c>
      <c r="L173" s="14">
        <v>0.433</v>
      </c>
      <c r="M173" s="14">
        <v>0.082</v>
      </c>
      <c r="N173" s="14">
        <v>293</v>
      </c>
      <c r="O173" s="20">
        <f t="shared" si="15"/>
        <v>0.0876812933025404</v>
      </c>
      <c r="P173" s="20">
        <f t="shared" si="16"/>
        <v>1.06928406466513</v>
      </c>
      <c r="Q173" s="20">
        <f t="shared" si="17"/>
        <v>0.0147492012820513</v>
      </c>
      <c r="R173" s="20">
        <f t="shared" si="18"/>
        <v>2.08974358974359</v>
      </c>
      <c r="S173" s="23">
        <v>1</v>
      </c>
      <c r="T173" s="14">
        <v>2</v>
      </c>
      <c r="U173" s="14">
        <v>3</v>
      </c>
      <c r="V173" s="14">
        <v>0</v>
      </c>
      <c r="W173" s="14">
        <v>0</v>
      </c>
      <c r="X173" s="14">
        <v>3</v>
      </c>
      <c r="Y173" s="14">
        <v>3</v>
      </c>
      <c r="Z173" s="14">
        <v>1</v>
      </c>
      <c r="AA173" s="20">
        <v>1.009</v>
      </c>
      <c r="AB173" s="1">
        <v>4.3</v>
      </c>
      <c r="AC173" s="1">
        <v>163</v>
      </c>
      <c r="AD173" s="1">
        <v>7.07</v>
      </c>
      <c r="AE173" s="7">
        <v>0.485</v>
      </c>
      <c r="AF173" s="8">
        <v>95.3</v>
      </c>
      <c r="AG173" s="1">
        <v>336</v>
      </c>
      <c r="AH173" s="8">
        <v>11.1</v>
      </c>
      <c r="AI173" s="8">
        <v>31.9</v>
      </c>
      <c r="AJ173" s="9">
        <v>4.49</v>
      </c>
      <c r="AK173" s="8">
        <v>49.4</v>
      </c>
      <c r="AL173" s="8">
        <v>7.5</v>
      </c>
      <c r="AM173" s="8">
        <v>2.7</v>
      </c>
      <c r="AN173" s="9">
        <v>40.9</v>
      </c>
      <c r="AO173" s="8">
        <v>108.5</v>
      </c>
      <c r="AP173" s="9">
        <v>5.98</v>
      </c>
      <c r="AQ173" s="9">
        <v>5.2</v>
      </c>
      <c r="AR173" s="8">
        <v>110.3</v>
      </c>
      <c r="AS173" s="8">
        <v>305</v>
      </c>
      <c r="AT173" s="9">
        <v>4.44</v>
      </c>
      <c r="AU173" s="9">
        <v>2.15</v>
      </c>
      <c r="AV173" s="9">
        <v>2.72</v>
      </c>
      <c r="AW173" s="9">
        <v>1.28</v>
      </c>
      <c r="AX173" s="9">
        <v>4.46</v>
      </c>
      <c r="AY173" s="8">
        <v>139.3</v>
      </c>
      <c r="AZ173" s="8">
        <v>32.6</v>
      </c>
      <c r="BA173" s="9">
        <v>1.22</v>
      </c>
      <c r="BB173" s="9">
        <v>2.4</v>
      </c>
      <c r="BC173" s="8">
        <v>185.7</v>
      </c>
      <c r="BD173" s="10">
        <v>3560</v>
      </c>
      <c r="BE173" s="10">
        <v>0</v>
      </c>
    </row>
    <row r="174" ht="15.6" spans="1:57">
      <c r="A174" s="14">
        <v>173</v>
      </c>
      <c r="B174" s="14" t="s">
        <v>224</v>
      </c>
      <c r="C174" s="15">
        <v>1</v>
      </c>
      <c r="D174" s="14">
        <v>1</v>
      </c>
      <c r="E174" s="14">
        <v>50</v>
      </c>
      <c r="F174" s="14">
        <v>1</v>
      </c>
      <c r="G174" s="14">
        <v>0</v>
      </c>
      <c r="H174" s="14">
        <v>162</v>
      </c>
      <c r="I174" s="14">
        <v>75</v>
      </c>
      <c r="J174" s="19">
        <f t="shared" si="12"/>
        <v>28.5779606767261</v>
      </c>
      <c r="K174" s="14">
        <v>0.629</v>
      </c>
      <c r="L174" s="14">
        <v>0.222</v>
      </c>
      <c r="M174" s="14">
        <v>0.085</v>
      </c>
      <c r="N174" s="14">
        <v>274</v>
      </c>
      <c r="O174" s="20">
        <f t="shared" si="15"/>
        <v>0.240833333333333</v>
      </c>
      <c r="P174" s="20">
        <f t="shared" si="16"/>
        <v>2.83333333333333</v>
      </c>
      <c r="Q174" s="20">
        <f t="shared" si="17"/>
        <v>0.007768224</v>
      </c>
      <c r="R174" s="20">
        <f t="shared" si="18"/>
        <v>2.16</v>
      </c>
      <c r="S174" s="23">
        <v>1</v>
      </c>
      <c r="T174" s="14">
        <v>2</v>
      </c>
      <c r="U174" s="14">
        <v>2</v>
      </c>
      <c r="V174" s="14">
        <v>1</v>
      </c>
      <c r="W174" s="14">
        <v>1</v>
      </c>
      <c r="X174" s="14">
        <v>2</v>
      </c>
      <c r="Y174" s="14">
        <v>4</v>
      </c>
      <c r="Z174" s="1">
        <v>0</v>
      </c>
      <c r="AA174" s="20">
        <v>1.018</v>
      </c>
      <c r="AB174" s="1">
        <v>2.7</v>
      </c>
      <c r="AC174" s="1">
        <v>154</v>
      </c>
      <c r="AD174" s="1">
        <v>8.26</v>
      </c>
      <c r="AE174" s="7">
        <v>0.455</v>
      </c>
      <c r="AF174" s="8">
        <v>91.9</v>
      </c>
      <c r="AG174" s="1">
        <v>338</v>
      </c>
      <c r="AH174" s="8">
        <v>10.4</v>
      </c>
      <c r="AI174" s="8">
        <v>35.4</v>
      </c>
      <c r="AJ174" s="9">
        <v>2.95</v>
      </c>
      <c r="AK174" s="8">
        <v>42.2</v>
      </c>
      <c r="AL174" s="8">
        <v>10.5</v>
      </c>
      <c r="AM174" s="8">
        <v>2.7</v>
      </c>
      <c r="AN174" s="9">
        <v>28.9</v>
      </c>
      <c r="AO174" s="8">
        <v>32.3</v>
      </c>
      <c r="AP174" s="9">
        <v>4.99</v>
      </c>
      <c r="AQ174" s="1">
        <v>6.61</v>
      </c>
      <c r="AR174" s="8">
        <v>92.1</v>
      </c>
      <c r="AS174" s="8">
        <v>373.1</v>
      </c>
      <c r="AT174" s="9">
        <v>4.57</v>
      </c>
      <c r="AU174" s="9">
        <v>1.73</v>
      </c>
      <c r="AV174" s="9">
        <v>2.46</v>
      </c>
      <c r="AW174" s="9">
        <v>0.91</v>
      </c>
      <c r="AX174" s="9">
        <v>3.67</v>
      </c>
      <c r="AY174" s="8">
        <v>141.4</v>
      </c>
      <c r="AZ174" s="8">
        <v>27.9</v>
      </c>
      <c r="BA174" s="9">
        <v>0.97</v>
      </c>
      <c r="BB174" s="9">
        <v>2.81</v>
      </c>
      <c r="BC174" s="8">
        <v>158.8</v>
      </c>
      <c r="BD174" s="32">
        <v>1820</v>
      </c>
      <c r="BE174" s="32">
        <v>1</v>
      </c>
    </row>
    <row r="175" ht="15.6" spans="1:57">
      <c r="A175" s="14">
        <v>174</v>
      </c>
      <c r="B175" s="14" t="s">
        <v>225</v>
      </c>
      <c r="C175" s="15">
        <v>0</v>
      </c>
      <c r="D175" s="14">
        <v>1</v>
      </c>
      <c r="E175" s="14">
        <v>47</v>
      </c>
      <c r="F175" s="14">
        <v>0</v>
      </c>
      <c r="G175" s="14">
        <v>0</v>
      </c>
      <c r="H175" s="14">
        <v>163</v>
      </c>
      <c r="I175" s="14">
        <v>46</v>
      </c>
      <c r="J175" s="19">
        <f t="shared" si="12"/>
        <v>17.3134103654635</v>
      </c>
      <c r="K175" s="14">
        <v>0.65</v>
      </c>
      <c r="L175" s="14">
        <v>0.269</v>
      </c>
      <c r="M175" s="14">
        <v>0.068</v>
      </c>
      <c r="N175" s="14">
        <v>270</v>
      </c>
      <c r="O175" s="20">
        <f t="shared" si="15"/>
        <v>0.164312267657993</v>
      </c>
      <c r="P175" s="20">
        <f t="shared" si="16"/>
        <v>2.41635687732342</v>
      </c>
      <c r="Q175" s="20">
        <f t="shared" si="17"/>
        <v>0.0155370891304348</v>
      </c>
      <c r="R175" s="20">
        <f t="shared" si="18"/>
        <v>3.54347826086957</v>
      </c>
      <c r="S175" s="23">
        <v>1</v>
      </c>
      <c r="T175" s="14">
        <v>2</v>
      </c>
      <c r="U175" s="14">
        <v>2</v>
      </c>
      <c r="V175" s="14">
        <v>0</v>
      </c>
      <c r="W175" s="14">
        <v>0</v>
      </c>
      <c r="X175" s="14">
        <v>2</v>
      </c>
      <c r="Y175" s="14">
        <v>2</v>
      </c>
      <c r="Z175" s="14">
        <v>0</v>
      </c>
      <c r="AA175" s="20">
        <v>1.02</v>
      </c>
      <c r="AB175" s="1">
        <v>3.4</v>
      </c>
      <c r="AC175" s="1">
        <v>130</v>
      </c>
      <c r="AD175" s="1">
        <v>7.55</v>
      </c>
      <c r="AE175" s="7">
        <v>0.414</v>
      </c>
      <c r="AF175" s="8">
        <v>99.3</v>
      </c>
      <c r="AG175" s="1">
        <v>314</v>
      </c>
      <c r="AH175" s="8">
        <v>10.2</v>
      </c>
      <c r="AI175" s="8">
        <v>34.6</v>
      </c>
      <c r="AJ175" s="9">
        <v>5.33</v>
      </c>
      <c r="AK175" s="8">
        <v>48.7</v>
      </c>
      <c r="AL175" s="8">
        <v>6.2</v>
      </c>
      <c r="AM175" s="8">
        <v>2.4</v>
      </c>
      <c r="AN175" s="9">
        <v>26.9</v>
      </c>
      <c r="AO175" s="8">
        <v>162.2</v>
      </c>
      <c r="AP175" s="9">
        <v>5.21</v>
      </c>
      <c r="AQ175" s="1">
        <v>6.79</v>
      </c>
      <c r="AR175" s="8">
        <v>43.6</v>
      </c>
      <c r="AS175" s="8">
        <v>257.2</v>
      </c>
      <c r="AT175" s="9">
        <v>7.18</v>
      </c>
      <c r="AU175" s="9">
        <v>1.29</v>
      </c>
      <c r="AV175" s="9">
        <v>2.37</v>
      </c>
      <c r="AW175" s="9">
        <v>1.32</v>
      </c>
      <c r="AX175" s="9">
        <v>4.09</v>
      </c>
      <c r="AY175" s="8">
        <v>141.1</v>
      </c>
      <c r="AZ175" s="8">
        <v>27.7</v>
      </c>
      <c r="BA175" s="9">
        <v>0.97</v>
      </c>
      <c r="BB175" s="9">
        <v>5.6</v>
      </c>
      <c r="BC175" s="8">
        <v>191.6</v>
      </c>
      <c r="BD175" s="10">
        <v>3496</v>
      </c>
      <c r="BE175" s="32">
        <v>0</v>
      </c>
    </row>
    <row r="176" ht="15.6" spans="1:57">
      <c r="A176" s="14">
        <v>175</v>
      </c>
      <c r="B176" s="14" t="s">
        <v>226</v>
      </c>
      <c r="C176" s="15">
        <v>0</v>
      </c>
      <c r="D176" s="14">
        <v>2</v>
      </c>
      <c r="E176" s="14">
        <v>62</v>
      </c>
      <c r="F176" s="14">
        <v>0</v>
      </c>
      <c r="G176" s="14">
        <v>0</v>
      </c>
      <c r="H176" s="14">
        <v>161</v>
      </c>
      <c r="I176" s="14">
        <v>55</v>
      </c>
      <c r="J176" s="19">
        <f t="shared" si="12"/>
        <v>21.2183171945527</v>
      </c>
      <c r="K176" s="14">
        <v>0.51</v>
      </c>
      <c r="L176" s="14">
        <v>0.393</v>
      </c>
      <c r="M176" s="14">
        <v>0.069</v>
      </c>
      <c r="N176" s="14">
        <v>213</v>
      </c>
      <c r="O176" s="20">
        <f t="shared" si="15"/>
        <v>0.0895419847328244</v>
      </c>
      <c r="P176" s="20">
        <f t="shared" si="16"/>
        <v>1.29770992366412</v>
      </c>
      <c r="Q176" s="20">
        <f t="shared" si="17"/>
        <v>0.0185217327272727</v>
      </c>
      <c r="R176" s="20">
        <f t="shared" si="18"/>
        <v>2.92727272727273</v>
      </c>
      <c r="S176" s="23">
        <v>3</v>
      </c>
      <c r="T176" s="14">
        <v>1</v>
      </c>
      <c r="U176" s="14">
        <v>1</v>
      </c>
      <c r="V176" s="14">
        <v>1</v>
      </c>
      <c r="W176" s="14">
        <v>1</v>
      </c>
      <c r="X176" s="14">
        <v>3</v>
      </c>
      <c r="Y176" s="14">
        <v>4</v>
      </c>
      <c r="Z176" s="14">
        <v>0</v>
      </c>
      <c r="AA176" s="20">
        <v>1.02</v>
      </c>
      <c r="AB176" s="1">
        <v>11.3</v>
      </c>
      <c r="AC176" s="1">
        <v>134</v>
      </c>
      <c r="AD176" s="1">
        <v>5.07</v>
      </c>
      <c r="AE176" s="7">
        <v>0.4</v>
      </c>
      <c r="AF176" s="8">
        <v>94.8</v>
      </c>
      <c r="AG176" s="1">
        <v>334</v>
      </c>
      <c r="AH176" s="8">
        <v>11</v>
      </c>
      <c r="AI176" s="8">
        <v>38</v>
      </c>
      <c r="AJ176" s="9">
        <v>3.24</v>
      </c>
      <c r="AK176" s="8">
        <v>44.2</v>
      </c>
      <c r="AL176" s="8">
        <v>7.4</v>
      </c>
      <c r="AM176" s="8">
        <v>2.4</v>
      </c>
      <c r="AO176" s="8">
        <v>9.1</v>
      </c>
      <c r="AP176" s="9">
        <v>6.12</v>
      </c>
      <c r="AQ176" s="1">
        <v>5.41</v>
      </c>
      <c r="AR176" s="8">
        <v>50.6</v>
      </c>
      <c r="AS176" s="8">
        <v>180.3</v>
      </c>
      <c r="AV176" s="9">
        <v>2.31</v>
      </c>
      <c r="AW176" s="9">
        <v>0.83</v>
      </c>
      <c r="AX176" s="9">
        <v>4</v>
      </c>
      <c r="AY176" s="8">
        <v>142.9</v>
      </c>
      <c r="AZ176" s="8">
        <v>24.8</v>
      </c>
      <c r="BD176" s="10">
        <v>3726</v>
      </c>
      <c r="BE176" s="32">
        <v>0</v>
      </c>
    </row>
    <row r="177" ht="15.6" spans="1:57">
      <c r="A177" s="14">
        <v>176</v>
      </c>
      <c r="B177" s="14" t="s">
        <v>227</v>
      </c>
      <c r="C177" s="15">
        <v>0</v>
      </c>
      <c r="D177" s="14">
        <v>2</v>
      </c>
      <c r="E177" s="14">
        <v>71</v>
      </c>
      <c r="F177" s="14">
        <v>0</v>
      </c>
      <c r="G177" s="14">
        <v>0</v>
      </c>
      <c r="H177" s="14">
        <v>162</v>
      </c>
      <c r="I177" s="14">
        <v>83</v>
      </c>
      <c r="J177" s="19">
        <f t="shared" si="12"/>
        <v>31.6262764822436</v>
      </c>
      <c r="K177" s="14">
        <v>0.456</v>
      </c>
      <c r="L177" s="14">
        <v>0.484</v>
      </c>
      <c r="M177" s="14">
        <v>0.047</v>
      </c>
      <c r="N177" s="14">
        <v>207</v>
      </c>
      <c r="O177" s="20">
        <f t="shared" si="15"/>
        <v>0.0442809917355372</v>
      </c>
      <c r="P177" s="20">
        <f t="shared" si="16"/>
        <v>0.942148760330579</v>
      </c>
      <c r="Q177" s="20">
        <f t="shared" si="17"/>
        <v>0.0153037301204819</v>
      </c>
      <c r="R177" s="20">
        <f t="shared" si="18"/>
        <v>1.95180722891566</v>
      </c>
      <c r="S177" s="23">
        <v>1</v>
      </c>
      <c r="T177" s="14">
        <v>1</v>
      </c>
      <c r="U177" s="14">
        <v>2</v>
      </c>
      <c r="V177" s="14">
        <v>0</v>
      </c>
      <c r="W177" s="14">
        <v>0</v>
      </c>
      <c r="X177" s="14">
        <v>3</v>
      </c>
      <c r="Y177" s="14">
        <v>2</v>
      </c>
      <c r="Z177" s="1">
        <v>0</v>
      </c>
      <c r="AA177" s="20">
        <v>1.025</v>
      </c>
      <c r="AB177" s="1">
        <v>9.9</v>
      </c>
      <c r="AC177" s="1">
        <v>142</v>
      </c>
      <c r="AD177" s="1">
        <v>8.53</v>
      </c>
      <c r="AE177" s="7">
        <v>0.437</v>
      </c>
      <c r="AF177" s="8">
        <v>93.8</v>
      </c>
      <c r="AG177" s="1">
        <v>325</v>
      </c>
      <c r="AH177" s="8">
        <v>11.2</v>
      </c>
      <c r="AI177" s="8">
        <v>32.7</v>
      </c>
      <c r="AJ177" s="9">
        <v>3.36</v>
      </c>
      <c r="AK177" s="8">
        <v>42.6</v>
      </c>
      <c r="AL177" s="8">
        <v>12.6</v>
      </c>
      <c r="AM177" s="8">
        <v>3.2</v>
      </c>
      <c r="AN177" s="9">
        <v>12.9</v>
      </c>
      <c r="AO177" s="8">
        <v>16.7</v>
      </c>
      <c r="AP177" s="9">
        <v>4.62</v>
      </c>
      <c r="AQ177" s="1">
        <v>5.16</v>
      </c>
      <c r="AR177" s="8">
        <v>74.4</v>
      </c>
      <c r="AS177" s="8">
        <v>233.8</v>
      </c>
      <c r="AT177" s="9">
        <v>5.82</v>
      </c>
      <c r="AU177" s="9">
        <v>2.67</v>
      </c>
      <c r="AV177" s="9">
        <v>2.41</v>
      </c>
      <c r="AW177" s="9">
        <v>1.18</v>
      </c>
      <c r="AX177" s="9">
        <v>4.05</v>
      </c>
      <c r="AY177" s="8">
        <v>144</v>
      </c>
      <c r="AZ177" s="8">
        <v>29.9</v>
      </c>
      <c r="BA177" s="9">
        <v>0.92</v>
      </c>
      <c r="BB177" s="9">
        <v>4.07</v>
      </c>
      <c r="BC177" s="8">
        <v>193</v>
      </c>
      <c r="BD177" s="10">
        <v>837</v>
      </c>
      <c r="BE177" s="32">
        <v>1</v>
      </c>
    </row>
    <row r="178" ht="15.6" spans="1:57">
      <c r="A178" s="14">
        <v>177</v>
      </c>
      <c r="B178" s="14" t="s">
        <v>228</v>
      </c>
      <c r="C178" s="15">
        <v>0</v>
      </c>
      <c r="D178" s="14">
        <v>1</v>
      </c>
      <c r="E178" s="14">
        <v>53</v>
      </c>
      <c r="F178" s="14">
        <v>0</v>
      </c>
      <c r="G178" s="14">
        <v>0</v>
      </c>
      <c r="H178" s="14">
        <v>175</v>
      </c>
      <c r="I178" s="14">
        <v>67</v>
      </c>
      <c r="J178" s="19">
        <f t="shared" si="12"/>
        <v>21.8775510204082</v>
      </c>
      <c r="K178" s="14">
        <v>0.649</v>
      </c>
      <c r="L178" s="14">
        <v>0.238</v>
      </c>
      <c r="M178" s="14">
        <v>0.076</v>
      </c>
      <c r="N178" s="14">
        <v>311</v>
      </c>
      <c r="O178" s="20">
        <f t="shared" si="15"/>
        <v>0.207243697478992</v>
      </c>
      <c r="P178" s="20">
        <f t="shared" si="16"/>
        <v>2.72689075630252</v>
      </c>
      <c r="Q178" s="20">
        <f t="shared" si="17"/>
        <v>0.0108787313432836</v>
      </c>
      <c r="R178" s="20">
        <f t="shared" si="18"/>
        <v>2.61194029850746</v>
      </c>
      <c r="S178" s="23">
        <v>2</v>
      </c>
      <c r="T178" s="14">
        <v>2</v>
      </c>
      <c r="U178" s="14">
        <v>2</v>
      </c>
      <c r="V178" s="14">
        <v>0</v>
      </c>
      <c r="W178" s="14">
        <v>0</v>
      </c>
      <c r="X178" s="14">
        <v>2</v>
      </c>
      <c r="Y178" s="14">
        <v>2</v>
      </c>
      <c r="Z178" s="14">
        <v>0</v>
      </c>
      <c r="AA178" s="20">
        <v>1.025</v>
      </c>
      <c r="AB178" s="1">
        <v>5.4</v>
      </c>
      <c r="AC178" s="1">
        <v>134</v>
      </c>
      <c r="AD178" s="1">
        <v>6.72</v>
      </c>
      <c r="AE178" s="7">
        <v>0.396</v>
      </c>
      <c r="AF178" s="8">
        <v>97.8</v>
      </c>
      <c r="AG178" s="1">
        <v>338</v>
      </c>
      <c r="AH178" s="8">
        <v>11.1</v>
      </c>
      <c r="AI178" s="8">
        <v>36.4</v>
      </c>
      <c r="AJ178" s="9">
        <v>4.17</v>
      </c>
      <c r="AK178" s="8">
        <v>37.8</v>
      </c>
      <c r="AL178" s="8">
        <v>5.6</v>
      </c>
      <c r="AM178" s="8">
        <v>1.7</v>
      </c>
      <c r="AN178" s="9">
        <v>13.2</v>
      </c>
      <c r="AO178" s="8">
        <v>42.6</v>
      </c>
      <c r="AP178" s="9">
        <v>5.38</v>
      </c>
      <c r="AQ178" s="1">
        <v>5.16</v>
      </c>
      <c r="AR178" s="8">
        <v>69.3</v>
      </c>
      <c r="AS178" s="8">
        <v>230.1</v>
      </c>
      <c r="AT178" s="9">
        <v>5.22</v>
      </c>
      <c r="AU178" s="9">
        <v>0.97</v>
      </c>
      <c r="AV178" s="9">
        <v>2.24</v>
      </c>
      <c r="AW178" s="9">
        <v>1.21</v>
      </c>
      <c r="AX178" s="9">
        <v>3.79</v>
      </c>
      <c r="AY178" s="8">
        <v>143.8</v>
      </c>
      <c r="AZ178" s="8">
        <v>26.6</v>
      </c>
      <c r="BA178" s="9">
        <v>0.8</v>
      </c>
      <c r="BB178" s="9">
        <v>4.03</v>
      </c>
      <c r="BC178" s="8">
        <v>144.2</v>
      </c>
      <c r="BD178" s="32">
        <v>3413</v>
      </c>
      <c r="BE178" s="32">
        <v>0</v>
      </c>
    </row>
    <row r="179" ht="15.6" spans="1:57">
      <c r="A179" s="14">
        <v>178</v>
      </c>
      <c r="B179" s="14" t="s">
        <v>229</v>
      </c>
      <c r="C179" s="15">
        <v>0</v>
      </c>
      <c r="D179" s="14">
        <v>1</v>
      </c>
      <c r="E179" s="14">
        <v>48</v>
      </c>
      <c r="F179" s="14">
        <v>0</v>
      </c>
      <c r="G179" s="14">
        <v>0</v>
      </c>
      <c r="H179" s="14">
        <v>176</v>
      </c>
      <c r="I179" s="14">
        <v>80</v>
      </c>
      <c r="J179" s="19">
        <f t="shared" si="12"/>
        <v>25.8264462809917</v>
      </c>
      <c r="K179" s="14">
        <v>0.636</v>
      </c>
      <c r="L179" s="14">
        <v>0.275</v>
      </c>
      <c r="M179" s="14">
        <v>0.064</v>
      </c>
      <c r="N179" s="14">
        <v>171</v>
      </c>
      <c r="O179" s="20">
        <f t="shared" si="15"/>
        <v>0.148014545454545</v>
      </c>
      <c r="P179" s="20">
        <f t="shared" si="16"/>
        <v>2.31272727272727</v>
      </c>
      <c r="Q179" s="20">
        <f t="shared" si="17"/>
        <v>0.010648</v>
      </c>
      <c r="R179" s="20">
        <f t="shared" si="18"/>
        <v>2.2</v>
      </c>
      <c r="S179" s="23">
        <v>1</v>
      </c>
      <c r="T179" s="14">
        <v>1</v>
      </c>
      <c r="U179" s="14">
        <v>1</v>
      </c>
      <c r="V179" s="14">
        <v>0</v>
      </c>
      <c r="W179" s="14">
        <v>0</v>
      </c>
      <c r="X179" s="14">
        <v>3</v>
      </c>
      <c r="Y179" s="14">
        <v>1</v>
      </c>
      <c r="Z179" s="1">
        <v>0</v>
      </c>
      <c r="AA179" s="20">
        <v>1.023</v>
      </c>
      <c r="AB179" s="1">
        <v>2.7</v>
      </c>
      <c r="AC179" s="1">
        <v>147</v>
      </c>
      <c r="AD179" s="1">
        <v>5.28</v>
      </c>
      <c r="AE179" s="7">
        <v>0.452</v>
      </c>
      <c r="AF179" s="8">
        <v>89.7</v>
      </c>
      <c r="AG179" s="1">
        <v>325</v>
      </c>
      <c r="AH179" s="8">
        <v>12.5</v>
      </c>
      <c r="AI179" s="8">
        <v>37.4</v>
      </c>
      <c r="AJ179" s="9">
        <v>2.85</v>
      </c>
      <c r="AK179" s="8">
        <v>45.6</v>
      </c>
      <c r="AL179" s="8">
        <v>16</v>
      </c>
      <c r="AM179" s="8">
        <v>3.7</v>
      </c>
      <c r="AN179" s="9">
        <v>11.7</v>
      </c>
      <c r="AO179" s="8">
        <v>67</v>
      </c>
      <c r="AP179" s="9">
        <v>4.22</v>
      </c>
      <c r="AQ179" s="1">
        <v>5.09</v>
      </c>
      <c r="AR179" s="8">
        <v>88.5</v>
      </c>
      <c r="AS179" s="8">
        <v>378.5</v>
      </c>
      <c r="AT179" s="9">
        <v>4.67</v>
      </c>
      <c r="AU179" s="9">
        <v>4.23</v>
      </c>
      <c r="AV179" s="9">
        <v>2.37</v>
      </c>
      <c r="AW179" s="9">
        <v>1.21</v>
      </c>
      <c r="AX179" s="9">
        <v>4.08</v>
      </c>
      <c r="AY179" s="8">
        <v>144.7</v>
      </c>
      <c r="AZ179" s="8">
        <v>29.9</v>
      </c>
      <c r="BA179" s="9">
        <v>0.9</v>
      </c>
      <c r="BB179" s="9">
        <v>2.4</v>
      </c>
      <c r="BC179" s="8">
        <v>182.9</v>
      </c>
      <c r="BD179" s="10">
        <v>3387</v>
      </c>
      <c r="BE179" s="32">
        <v>0</v>
      </c>
    </row>
    <row r="180" ht="15.6" spans="1:57">
      <c r="A180" s="14">
        <v>179</v>
      </c>
      <c r="B180" s="14" t="s">
        <v>230</v>
      </c>
      <c r="C180" s="15">
        <v>0</v>
      </c>
      <c r="D180" s="14">
        <v>1</v>
      </c>
      <c r="E180" s="14">
        <v>45</v>
      </c>
      <c r="F180" s="14">
        <v>0</v>
      </c>
      <c r="G180" s="14">
        <v>0</v>
      </c>
      <c r="H180" s="14">
        <v>173</v>
      </c>
      <c r="I180" s="14">
        <v>75</v>
      </c>
      <c r="J180" s="19">
        <f t="shared" si="12"/>
        <v>25.0593070266297</v>
      </c>
      <c r="K180" s="14">
        <v>0.67</v>
      </c>
      <c r="L180" s="14">
        <v>0.252</v>
      </c>
      <c r="M180" s="14">
        <v>0.062</v>
      </c>
      <c r="N180" s="14">
        <v>225</v>
      </c>
      <c r="O180" s="20">
        <f t="shared" si="15"/>
        <v>0.16484126984127</v>
      </c>
      <c r="P180" s="20">
        <f t="shared" si="16"/>
        <v>2.65873015873016</v>
      </c>
      <c r="Q180" s="20">
        <f t="shared" si="17"/>
        <v>0.010056144</v>
      </c>
      <c r="R180" s="20">
        <f t="shared" si="18"/>
        <v>2.30666666666667</v>
      </c>
      <c r="S180" s="23">
        <v>1</v>
      </c>
      <c r="T180" s="14">
        <v>1</v>
      </c>
      <c r="U180" s="14">
        <v>1</v>
      </c>
      <c r="V180" s="14">
        <v>0</v>
      </c>
      <c r="W180" s="14">
        <v>0</v>
      </c>
      <c r="X180" s="14">
        <v>2</v>
      </c>
      <c r="Y180" s="14">
        <v>1</v>
      </c>
      <c r="Z180" s="14">
        <v>0</v>
      </c>
      <c r="AA180" s="20">
        <v>1.032</v>
      </c>
      <c r="AB180" s="8">
        <v>10</v>
      </c>
      <c r="AC180" s="1">
        <v>154</v>
      </c>
      <c r="AD180" s="1">
        <v>6.47</v>
      </c>
      <c r="AE180" s="7">
        <v>0.44</v>
      </c>
      <c r="AF180" s="8">
        <v>91.7</v>
      </c>
      <c r="AG180" s="1">
        <v>349</v>
      </c>
      <c r="AH180" s="8">
        <v>9.5</v>
      </c>
      <c r="AI180" s="8">
        <v>31.2</v>
      </c>
      <c r="AJ180" s="9">
        <v>2.96</v>
      </c>
      <c r="AK180" s="8">
        <v>47.5</v>
      </c>
      <c r="AL180" s="8">
        <v>26</v>
      </c>
      <c r="AM180" s="8">
        <v>6.7</v>
      </c>
      <c r="AO180" s="8">
        <v>44</v>
      </c>
      <c r="AP180" s="9">
        <v>6.42</v>
      </c>
      <c r="AQ180" s="9">
        <v>4.5</v>
      </c>
      <c r="AR180" s="8">
        <v>68.5</v>
      </c>
      <c r="AS180" s="8">
        <v>258.6</v>
      </c>
      <c r="AV180" s="9">
        <v>2.37</v>
      </c>
      <c r="AW180" s="9">
        <v>1.2</v>
      </c>
      <c r="AX180" s="9">
        <v>3.67</v>
      </c>
      <c r="AY180" s="8">
        <v>142.3</v>
      </c>
      <c r="AZ180" s="8">
        <v>26.2</v>
      </c>
      <c r="BD180" s="10">
        <v>3703</v>
      </c>
      <c r="BE180" s="32">
        <v>0</v>
      </c>
    </row>
    <row r="181" ht="15.6" spans="1:57">
      <c r="A181" s="14">
        <v>180</v>
      </c>
      <c r="B181" s="14" t="s">
        <v>231</v>
      </c>
      <c r="C181" s="15">
        <v>1</v>
      </c>
      <c r="D181" s="14">
        <v>2</v>
      </c>
      <c r="E181" s="14">
        <v>30</v>
      </c>
      <c r="F181" s="14">
        <v>0</v>
      </c>
      <c r="G181" s="14">
        <v>0</v>
      </c>
      <c r="H181" s="14">
        <v>167</v>
      </c>
      <c r="I181" s="14">
        <v>86</v>
      </c>
      <c r="J181" s="19">
        <f t="shared" si="12"/>
        <v>30.8365305317509</v>
      </c>
      <c r="K181" s="14">
        <v>0.792</v>
      </c>
      <c r="L181" s="14">
        <v>0.182</v>
      </c>
      <c r="M181" s="14">
        <v>0.02</v>
      </c>
      <c r="N181" s="14">
        <v>345</v>
      </c>
      <c r="O181" s="20">
        <f t="shared" si="15"/>
        <v>0.087032967032967</v>
      </c>
      <c r="P181" s="20">
        <f t="shared" si="16"/>
        <v>4.35164835164835</v>
      </c>
      <c r="Q181" s="20">
        <f t="shared" si="17"/>
        <v>0.00590209069767442</v>
      </c>
      <c r="R181" s="20">
        <f t="shared" si="18"/>
        <v>1.94186046511628</v>
      </c>
      <c r="S181" s="23">
        <v>1</v>
      </c>
      <c r="T181" s="14">
        <v>1</v>
      </c>
      <c r="U181" s="14">
        <v>2</v>
      </c>
      <c r="V181" s="14">
        <v>1</v>
      </c>
      <c r="W181" s="14">
        <v>1</v>
      </c>
      <c r="X181" s="14">
        <v>2</v>
      </c>
      <c r="Y181" s="14">
        <v>4</v>
      </c>
      <c r="Z181" s="1">
        <v>0</v>
      </c>
      <c r="AA181" s="20">
        <v>1.028</v>
      </c>
      <c r="AB181" s="1">
        <v>7.1</v>
      </c>
      <c r="AC181" s="1">
        <v>145</v>
      </c>
      <c r="AD181" s="1">
        <v>10.81</v>
      </c>
      <c r="AE181" s="7">
        <v>0.443</v>
      </c>
      <c r="AF181" s="8">
        <v>85.9</v>
      </c>
      <c r="AG181" s="1">
        <v>327</v>
      </c>
      <c r="AH181" s="8">
        <v>9.6</v>
      </c>
      <c r="AI181" s="8">
        <v>36.4</v>
      </c>
      <c r="AJ181" s="9">
        <v>3.74</v>
      </c>
      <c r="AK181" s="8">
        <v>45.4</v>
      </c>
      <c r="AL181" s="8">
        <v>6.1</v>
      </c>
      <c r="AM181" s="8">
        <v>1.3</v>
      </c>
      <c r="AN181" s="9">
        <v>3.8</v>
      </c>
      <c r="AO181" s="8">
        <v>14.7</v>
      </c>
      <c r="AP181" s="9">
        <v>5.72</v>
      </c>
      <c r="AQ181" s="1">
        <v>2.36</v>
      </c>
      <c r="AR181" s="8">
        <v>49.3</v>
      </c>
      <c r="AS181" s="8">
        <v>204.8</v>
      </c>
      <c r="AT181" s="9">
        <v>4.3</v>
      </c>
      <c r="AU181" s="9">
        <v>1.15</v>
      </c>
      <c r="AV181" s="9">
        <v>2.38</v>
      </c>
      <c r="AW181" s="9">
        <v>1.09</v>
      </c>
      <c r="AX181" s="9">
        <v>4.26</v>
      </c>
      <c r="AY181" s="8">
        <v>140.5</v>
      </c>
      <c r="AZ181" s="8">
        <v>28.1</v>
      </c>
      <c r="BA181" s="9">
        <v>1.19</v>
      </c>
      <c r="BB181" s="9">
        <v>2.55</v>
      </c>
      <c r="BC181" s="8">
        <v>140</v>
      </c>
      <c r="BD181" s="10">
        <v>3560</v>
      </c>
      <c r="BE181" s="32">
        <v>1</v>
      </c>
    </row>
    <row r="182" ht="15.6" spans="1:57">
      <c r="A182" s="14">
        <v>181</v>
      </c>
      <c r="B182" s="14" t="s">
        <v>232</v>
      </c>
      <c r="C182" s="15">
        <v>0</v>
      </c>
      <c r="D182" s="14">
        <v>1</v>
      </c>
      <c r="E182" s="14">
        <v>72</v>
      </c>
      <c r="F182" s="14">
        <v>0</v>
      </c>
      <c r="G182" s="14">
        <v>0</v>
      </c>
      <c r="H182" s="14">
        <v>171</v>
      </c>
      <c r="I182" s="14">
        <v>67</v>
      </c>
      <c r="J182" s="19">
        <f t="shared" si="12"/>
        <v>22.9130330700044</v>
      </c>
      <c r="K182" s="14">
        <v>0.426</v>
      </c>
      <c r="L182" s="14">
        <v>0.484</v>
      </c>
      <c r="M182" s="14">
        <v>0.06</v>
      </c>
      <c r="N182" s="14">
        <v>227</v>
      </c>
      <c r="O182" s="20">
        <f t="shared" si="15"/>
        <v>0.0528099173553719</v>
      </c>
      <c r="P182" s="20">
        <f t="shared" si="16"/>
        <v>0.880165289256198</v>
      </c>
      <c r="Q182" s="20">
        <f t="shared" si="17"/>
        <v>0.0211233492537313</v>
      </c>
      <c r="R182" s="20">
        <f t="shared" si="18"/>
        <v>2.55223880597015</v>
      </c>
      <c r="S182" s="23">
        <v>1</v>
      </c>
      <c r="T182" s="14">
        <v>1</v>
      </c>
      <c r="U182" s="14">
        <v>1</v>
      </c>
      <c r="V182" s="14">
        <v>0</v>
      </c>
      <c r="W182" s="14">
        <v>0</v>
      </c>
      <c r="X182" s="14">
        <v>2</v>
      </c>
      <c r="Y182" s="14">
        <v>1</v>
      </c>
      <c r="Z182" s="1">
        <v>0</v>
      </c>
      <c r="AA182" s="20">
        <v>1.021</v>
      </c>
      <c r="AB182" s="1">
        <v>5.5</v>
      </c>
      <c r="AC182" s="1">
        <v>141</v>
      </c>
      <c r="AD182" s="1">
        <v>6.98</v>
      </c>
      <c r="AE182" s="7">
        <v>0.434</v>
      </c>
      <c r="AF182" s="8">
        <v>92.1</v>
      </c>
      <c r="AG182" s="1">
        <v>325</v>
      </c>
      <c r="AH182" s="8">
        <v>10.8</v>
      </c>
      <c r="AI182" s="8">
        <v>37.8</v>
      </c>
      <c r="AJ182" s="9">
        <v>3.45</v>
      </c>
      <c r="AK182" s="8">
        <v>42.1</v>
      </c>
      <c r="AL182" s="8">
        <v>20.3</v>
      </c>
      <c r="AM182" s="8">
        <v>4.7</v>
      </c>
      <c r="AN182" s="9">
        <v>12.4</v>
      </c>
      <c r="AO182" s="8">
        <v>15.7</v>
      </c>
      <c r="AP182" s="9">
        <v>4.77</v>
      </c>
      <c r="AQ182" s="1">
        <v>6.18</v>
      </c>
      <c r="AR182" s="8">
        <v>91.8</v>
      </c>
      <c r="AS182" s="8">
        <v>335.1</v>
      </c>
      <c r="AT182" s="9">
        <v>4.67</v>
      </c>
      <c r="AU182" s="9">
        <v>2.15</v>
      </c>
      <c r="AV182" s="9">
        <v>2.43</v>
      </c>
      <c r="AW182" s="9">
        <v>0.94</v>
      </c>
      <c r="AX182" s="9">
        <v>3.92</v>
      </c>
      <c r="AY182" s="8">
        <v>143.4</v>
      </c>
      <c r="AZ182" s="8">
        <v>27.9</v>
      </c>
      <c r="BA182" s="9">
        <v>1.3</v>
      </c>
      <c r="BB182" s="9">
        <v>2.71</v>
      </c>
      <c r="BC182" s="8">
        <v>202.3</v>
      </c>
      <c r="BD182" s="32">
        <v>1290</v>
      </c>
      <c r="BE182" s="32">
        <v>1</v>
      </c>
    </row>
    <row r="183" ht="15.6" spans="1:57">
      <c r="A183" s="14">
        <v>182</v>
      </c>
      <c r="B183" s="14">
        <v>853756</v>
      </c>
      <c r="C183" s="15">
        <v>0</v>
      </c>
      <c r="D183" s="14">
        <v>2</v>
      </c>
      <c r="E183" s="14">
        <v>35</v>
      </c>
      <c r="F183" s="14">
        <v>0</v>
      </c>
      <c r="G183" s="14">
        <v>0</v>
      </c>
      <c r="H183" s="14">
        <v>160</v>
      </c>
      <c r="I183" s="14">
        <v>58</v>
      </c>
      <c r="J183" s="19">
        <f t="shared" si="12"/>
        <v>22.65625</v>
      </c>
      <c r="K183" s="14">
        <v>0.589</v>
      </c>
      <c r="L183" s="14">
        <v>0.331</v>
      </c>
      <c r="M183" s="14">
        <v>0.047</v>
      </c>
      <c r="N183" s="14">
        <v>258</v>
      </c>
      <c r="O183" s="20">
        <f t="shared" si="15"/>
        <v>0.0836344410876133</v>
      </c>
      <c r="P183" s="20">
        <f t="shared" si="16"/>
        <v>1.77945619335347</v>
      </c>
      <c r="Q183" s="20">
        <f t="shared" si="17"/>
        <v>0.0146096551724138</v>
      </c>
      <c r="R183" s="20">
        <f t="shared" si="18"/>
        <v>2.75862068965517</v>
      </c>
      <c r="S183" s="23">
        <v>1</v>
      </c>
      <c r="T183" s="14">
        <v>1</v>
      </c>
      <c r="U183" s="14">
        <v>1</v>
      </c>
      <c r="V183" s="14">
        <v>0</v>
      </c>
      <c r="W183" s="14">
        <v>0</v>
      </c>
      <c r="X183" s="14">
        <v>3</v>
      </c>
      <c r="Y183" s="14">
        <v>1</v>
      </c>
      <c r="Z183" s="14">
        <v>0</v>
      </c>
      <c r="AA183" s="20">
        <v>1.007</v>
      </c>
      <c r="AB183" s="1">
        <v>17.8</v>
      </c>
      <c r="AC183" s="1">
        <v>126</v>
      </c>
      <c r="AD183" s="1">
        <v>6.32</v>
      </c>
      <c r="AE183" s="7">
        <v>0.375</v>
      </c>
      <c r="AF183" s="8">
        <v>85.8</v>
      </c>
      <c r="AG183" s="1">
        <v>336</v>
      </c>
      <c r="AH183" s="8">
        <v>9.9</v>
      </c>
      <c r="AI183" s="8">
        <v>37.2</v>
      </c>
      <c r="AJ183" s="9">
        <v>2.8</v>
      </c>
      <c r="AK183" s="8">
        <v>42.1</v>
      </c>
      <c r="AL183" s="8">
        <v>10.9</v>
      </c>
      <c r="AM183" s="8">
        <v>3.3</v>
      </c>
      <c r="AN183" s="9">
        <v>12.5</v>
      </c>
      <c r="AO183" s="8">
        <v>8.6</v>
      </c>
      <c r="AP183" s="9">
        <v>4.12</v>
      </c>
      <c r="AQ183" s="1">
        <v>3.43</v>
      </c>
      <c r="AR183" s="8">
        <v>57.6</v>
      </c>
      <c r="AS183" s="8">
        <v>233.5</v>
      </c>
      <c r="AT183" s="9">
        <v>3.33</v>
      </c>
      <c r="AU183" s="9">
        <v>0.38</v>
      </c>
      <c r="AV183" s="9">
        <v>2.16</v>
      </c>
      <c r="AW183" s="9">
        <v>1.19</v>
      </c>
      <c r="AX183" s="9">
        <v>3.95</v>
      </c>
      <c r="AY183" s="8">
        <v>138.6</v>
      </c>
      <c r="AZ183" s="8">
        <v>23.7</v>
      </c>
      <c r="BA183" s="9">
        <v>1.6</v>
      </c>
      <c r="BB183" s="9">
        <v>1.58</v>
      </c>
      <c r="BC183" s="8">
        <v>180.1</v>
      </c>
      <c r="BD183" s="32">
        <v>3157</v>
      </c>
      <c r="BE183" s="32">
        <v>0</v>
      </c>
    </row>
    <row r="184" ht="15.6" spans="1:57">
      <c r="A184" s="14">
        <v>183</v>
      </c>
      <c r="B184" s="14" t="s">
        <v>233</v>
      </c>
      <c r="C184" s="15">
        <v>0</v>
      </c>
      <c r="D184" s="14">
        <v>1</v>
      </c>
      <c r="E184" s="14">
        <v>57</v>
      </c>
      <c r="F184" s="14">
        <v>0</v>
      </c>
      <c r="G184" s="14">
        <v>0</v>
      </c>
      <c r="H184" s="14">
        <v>178</v>
      </c>
      <c r="I184" s="14">
        <v>76</v>
      </c>
      <c r="J184" s="19">
        <f t="shared" si="12"/>
        <v>23.9868703446535</v>
      </c>
      <c r="K184" s="14">
        <v>0.452</v>
      </c>
      <c r="L184" s="14">
        <v>0.433</v>
      </c>
      <c r="M184" s="14">
        <v>0.096</v>
      </c>
      <c r="N184" s="14">
        <v>153</v>
      </c>
      <c r="O184" s="20">
        <f t="shared" si="15"/>
        <v>0.10021247113164</v>
      </c>
      <c r="P184" s="20">
        <f t="shared" si="16"/>
        <v>1.04387990762125</v>
      </c>
      <c r="Q184" s="20">
        <f t="shared" si="17"/>
        <v>0.0180515421052632</v>
      </c>
      <c r="R184" s="20">
        <f t="shared" si="18"/>
        <v>2.34210526315789</v>
      </c>
      <c r="S184" s="23">
        <v>1</v>
      </c>
      <c r="T184" s="14">
        <v>1</v>
      </c>
      <c r="U184" s="14">
        <v>1</v>
      </c>
      <c r="V184" s="14">
        <v>0</v>
      </c>
      <c r="W184" s="14">
        <v>0</v>
      </c>
      <c r="X184" s="14">
        <v>3</v>
      </c>
      <c r="Y184" s="14">
        <v>1</v>
      </c>
      <c r="Z184" s="1">
        <v>0</v>
      </c>
      <c r="AA184" s="20">
        <v>1.014</v>
      </c>
      <c r="AB184" s="1">
        <v>1.2</v>
      </c>
      <c r="AC184" s="1">
        <v>131</v>
      </c>
      <c r="AD184" s="1">
        <v>3.12</v>
      </c>
      <c r="AE184" s="7">
        <v>0.382</v>
      </c>
      <c r="AF184" s="8">
        <v>97.4</v>
      </c>
      <c r="AG184" s="1">
        <v>343</v>
      </c>
      <c r="AH184" s="8">
        <v>10.1</v>
      </c>
      <c r="AI184" s="8">
        <v>45.3</v>
      </c>
      <c r="AJ184" s="9">
        <v>2.87</v>
      </c>
      <c r="AK184" s="8">
        <v>43.3</v>
      </c>
      <c r="AL184" s="8">
        <v>16.5</v>
      </c>
      <c r="AM184" s="8">
        <v>4.8</v>
      </c>
      <c r="AN184" s="9">
        <v>11.7</v>
      </c>
      <c r="AO184" s="8">
        <v>75.9</v>
      </c>
      <c r="AP184" s="9">
        <v>4.1</v>
      </c>
      <c r="AQ184" s="1">
        <v>4.39</v>
      </c>
      <c r="AR184" s="8">
        <v>67</v>
      </c>
      <c r="AS184" s="8">
        <v>409.7</v>
      </c>
      <c r="AT184" s="9">
        <v>5.26</v>
      </c>
      <c r="AU184" s="9">
        <v>0.66</v>
      </c>
      <c r="AV184" s="9">
        <v>2.25</v>
      </c>
      <c r="AW184" s="9">
        <v>1.35</v>
      </c>
      <c r="AX184" s="9">
        <v>3.8</v>
      </c>
      <c r="AY184" s="8">
        <v>143.6</v>
      </c>
      <c r="AZ184" s="8">
        <v>29.9</v>
      </c>
      <c r="BA184" s="9">
        <v>1.72</v>
      </c>
      <c r="BB184" s="9">
        <v>3.27</v>
      </c>
      <c r="BC184" s="8">
        <v>172.3</v>
      </c>
      <c r="BD184" s="10">
        <v>3299</v>
      </c>
      <c r="BE184" s="10">
        <v>0</v>
      </c>
    </row>
    <row r="185" ht="15.6" spans="1:57">
      <c r="A185" s="14">
        <v>184</v>
      </c>
      <c r="B185" s="14" t="s">
        <v>234</v>
      </c>
      <c r="C185" s="15">
        <v>0</v>
      </c>
      <c r="D185" s="14">
        <v>2</v>
      </c>
      <c r="E185" s="14">
        <v>71</v>
      </c>
      <c r="F185" s="14">
        <v>1</v>
      </c>
      <c r="G185" s="14">
        <v>0</v>
      </c>
      <c r="H185" s="14">
        <v>159</v>
      </c>
      <c r="I185" s="14">
        <v>78</v>
      </c>
      <c r="J185" s="19">
        <f t="shared" si="12"/>
        <v>30.8532099204936</v>
      </c>
      <c r="K185" s="14">
        <v>0.511</v>
      </c>
      <c r="L185" s="14">
        <v>0.389</v>
      </c>
      <c r="M185" s="14">
        <v>0.083</v>
      </c>
      <c r="N185" s="14">
        <v>330</v>
      </c>
      <c r="O185" s="20">
        <f t="shared" si="15"/>
        <v>0.109030848329049</v>
      </c>
      <c r="P185" s="20">
        <f t="shared" si="16"/>
        <v>1.31362467866324</v>
      </c>
      <c r="Q185" s="20">
        <f t="shared" si="17"/>
        <v>0.0126080884615385</v>
      </c>
      <c r="R185" s="20">
        <f t="shared" si="18"/>
        <v>2.03846153846154</v>
      </c>
      <c r="S185" s="23">
        <v>1</v>
      </c>
      <c r="T185" s="14">
        <v>1</v>
      </c>
      <c r="U185" s="14">
        <v>1</v>
      </c>
      <c r="V185" s="14">
        <v>0</v>
      </c>
      <c r="W185" s="14">
        <v>0</v>
      </c>
      <c r="X185" s="14">
        <v>2</v>
      </c>
      <c r="Y185" s="14">
        <v>1</v>
      </c>
      <c r="Z185" s="14">
        <v>0</v>
      </c>
      <c r="AA185" s="20">
        <v>1.014</v>
      </c>
      <c r="AB185" s="1">
        <v>8.5</v>
      </c>
      <c r="AC185" s="1">
        <v>132</v>
      </c>
      <c r="AD185" s="9">
        <v>6.4</v>
      </c>
      <c r="AE185" s="7">
        <v>0.389</v>
      </c>
      <c r="AF185" s="8">
        <v>96.6</v>
      </c>
      <c r="AG185" s="1">
        <v>340</v>
      </c>
      <c r="AH185" s="8">
        <v>8.6</v>
      </c>
      <c r="AI185" s="8">
        <v>31.7</v>
      </c>
      <c r="AJ185" s="9">
        <v>3.58</v>
      </c>
      <c r="AK185" s="8">
        <v>37.7</v>
      </c>
      <c r="AL185" s="8">
        <v>14.2</v>
      </c>
      <c r="AM185" s="8">
        <v>4.9</v>
      </c>
      <c r="AN185" s="9">
        <v>17.91</v>
      </c>
      <c r="AO185" s="8">
        <v>10.3</v>
      </c>
      <c r="AP185" s="9">
        <v>5.14</v>
      </c>
      <c r="AQ185" s="1">
        <v>4.92</v>
      </c>
      <c r="AR185" s="8">
        <v>52.3</v>
      </c>
      <c r="AS185" s="8">
        <v>216.1</v>
      </c>
      <c r="AT185" s="9">
        <v>3.59</v>
      </c>
      <c r="AU185" s="9">
        <v>1.16</v>
      </c>
      <c r="AV185" s="9">
        <v>2.19</v>
      </c>
      <c r="AW185" s="9">
        <v>1.4</v>
      </c>
      <c r="AX185" s="9">
        <v>4.08</v>
      </c>
      <c r="AY185" s="8">
        <v>144.2</v>
      </c>
      <c r="AZ185" s="8">
        <v>29.4</v>
      </c>
      <c r="BA185" s="9">
        <v>1.16</v>
      </c>
      <c r="BB185" s="9">
        <v>1.95</v>
      </c>
      <c r="BC185" s="8">
        <v>137.3</v>
      </c>
      <c r="BD185" s="10">
        <v>3983</v>
      </c>
      <c r="BE185" s="32">
        <v>0</v>
      </c>
    </row>
    <row r="186" ht="15.6" spans="1:57">
      <c r="A186" s="14">
        <v>185</v>
      </c>
      <c r="B186" s="14" t="s">
        <v>203</v>
      </c>
      <c r="C186" s="15">
        <v>1</v>
      </c>
      <c r="D186" s="14">
        <v>1</v>
      </c>
      <c r="E186" s="14">
        <v>47</v>
      </c>
      <c r="F186" s="14">
        <v>0</v>
      </c>
      <c r="G186" s="14">
        <v>0</v>
      </c>
      <c r="H186" s="14">
        <v>168</v>
      </c>
      <c r="I186" s="14">
        <v>68</v>
      </c>
      <c r="J186" s="19">
        <f t="shared" si="12"/>
        <v>24.092970521542</v>
      </c>
      <c r="K186" s="14">
        <v>0.669</v>
      </c>
      <c r="L186" s="14">
        <v>0.249</v>
      </c>
      <c r="M186" s="14">
        <v>0.061</v>
      </c>
      <c r="N186" s="14">
        <v>178</v>
      </c>
      <c r="O186" s="20">
        <f t="shared" si="15"/>
        <v>0.16389156626506</v>
      </c>
      <c r="P186" s="20">
        <f t="shared" si="16"/>
        <v>2.68674698795181</v>
      </c>
      <c r="Q186" s="20">
        <f t="shared" si="17"/>
        <v>0.0103349647058824</v>
      </c>
      <c r="R186" s="20">
        <f t="shared" si="18"/>
        <v>2.47058823529412</v>
      </c>
      <c r="S186" s="23">
        <v>1</v>
      </c>
      <c r="T186" s="14">
        <v>1</v>
      </c>
      <c r="U186" s="14">
        <v>1</v>
      </c>
      <c r="V186" s="14">
        <v>1</v>
      </c>
      <c r="W186" s="14">
        <v>1</v>
      </c>
      <c r="X186" s="14">
        <v>2</v>
      </c>
      <c r="Y186" s="14">
        <v>4</v>
      </c>
      <c r="Z186" s="1">
        <v>0</v>
      </c>
      <c r="AA186" s="20">
        <v>1.011</v>
      </c>
      <c r="AB186" s="1">
        <v>0.2</v>
      </c>
      <c r="AC186" s="1">
        <v>151</v>
      </c>
      <c r="AD186" s="1">
        <v>6.23</v>
      </c>
      <c r="AE186" s="7">
        <v>0.458</v>
      </c>
      <c r="AF186" s="8">
        <v>92</v>
      </c>
      <c r="AG186" s="1">
        <v>330</v>
      </c>
      <c r="AH186" s="8">
        <v>12.7</v>
      </c>
      <c r="AI186" s="8">
        <v>31.3</v>
      </c>
      <c r="AJ186" s="9">
        <v>2.66</v>
      </c>
      <c r="AK186" s="8">
        <v>43.2</v>
      </c>
      <c r="AL186" s="8">
        <v>6.2</v>
      </c>
      <c r="AM186" s="8">
        <v>2.2</v>
      </c>
      <c r="AN186" s="9">
        <v>12.4</v>
      </c>
      <c r="AO186" s="8">
        <v>45.9</v>
      </c>
      <c r="AP186" s="9">
        <v>6.06</v>
      </c>
      <c r="AQ186" s="1">
        <v>4.88</v>
      </c>
      <c r="AR186" s="8">
        <v>74</v>
      </c>
      <c r="AS186" s="8">
        <v>294</v>
      </c>
      <c r="AT186" s="9">
        <v>3.17</v>
      </c>
      <c r="AU186" s="9">
        <v>1.63</v>
      </c>
      <c r="AV186" s="9">
        <v>2.25</v>
      </c>
      <c r="AW186" s="9">
        <v>1.42</v>
      </c>
      <c r="AX186" s="9">
        <v>3.83</v>
      </c>
      <c r="AY186" s="8">
        <v>142.5</v>
      </c>
      <c r="AZ186" s="8">
        <v>25.7</v>
      </c>
      <c r="BA186" s="9">
        <v>0.94</v>
      </c>
      <c r="BB186" s="9">
        <v>1.71</v>
      </c>
      <c r="BC186" s="8">
        <v>139.6</v>
      </c>
      <c r="BD186" s="32">
        <v>1420</v>
      </c>
      <c r="BE186" s="32">
        <v>1</v>
      </c>
    </row>
    <row r="187" ht="15.6" spans="1:57">
      <c r="A187" s="14">
        <v>186</v>
      </c>
      <c r="B187" s="14" t="s">
        <v>235</v>
      </c>
      <c r="C187" s="15">
        <v>0</v>
      </c>
      <c r="D187" s="14">
        <v>1</v>
      </c>
      <c r="E187" s="14">
        <v>44</v>
      </c>
      <c r="F187" s="14">
        <v>0</v>
      </c>
      <c r="G187" s="14">
        <v>0</v>
      </c>
      <c r="H187" s="14">
        <v>177</v>
      </c>
      <c r="I187" s="14">
        <v>85</v>
      </c>
      <c r="J187" s="19">
        <f t="shared" si="12"/>
        <v>27.1314117909924</v>
      </c>
      <c r="K187" s="14">
        <v>0.447</v>
      </c>
      <c r="L187" s="14">
        <v>0.468</v>
      </c>
      <c r="M187" s="14">
        <v>0.069</v>
      </c>
      <c r="N187" s="14">
        <v>170</v>
      </c>
      <c r="O187" s="20">
        <f t="shared" si="15"/>
        <v>0.0659038461538462</v>
      </c>
      <c r="P187" s="20">
        <f t="shared" si="16"/>
        <v>0.955128205128205</v>
      </c>
      <c r="Q187" s="20">
        <f t="shared" si="17"/>
        <v>0.0172493788235294</v>
      </c>
      <c r="R187" s="20">
        <f t="shared" si="18"/>
        <v>2.08235294117647</v>
      </c>
      <c r="S187" s="23">
        <v>4</v>
      </c>
      <c r="T187" s="14">
        <v>1</v>
      </c>
      <c r="U187" s="14">
        <v>2</v>
      </c>
      <c r="V187" s="14">
        <v>2</v>
      </c>
      <c r="W187" s="14">
        <v>1</v>
      </c>
      <c r="X187" s="14">
        <v>3</v>
      </c>
      <c r="Y187" s="14">
        <v>4</v>
      </c>
      <c r="Z187" s="14">
        <v>0</v>
      </c>
      <c r="AA187" s="20">
        <v>1.019</v>
      </c>
      <c r="AB187" s="1">
        <v>2.3</v>
      </c>
      <c r="AC187" s="1">
        <v>144</v>
      </c>
      <c r="AD187" s="1">
        <v>5.66</v>
      </c>
      <c r="AE187" s="7">
        <v>0.43</v>
      </c>
      <c r="AF187" s="8">
        <v>87.9</v>
      </c>
      <c r="AG187" s="1">
        <v>335</v>
      </c>
      <c r="AH187" s="8">
        <v>12</v>
      </c>
      <c r="AI187" s="8">
        <v>41.2</v>
      </c>
      <c r="AJ187" s="9">
        <v>2.57</v>
      </c>
      <c r="AK187" s="8">
        <v>38.2</v>
      </c>
      <c r="AL187" s="8">
        <v>9.3</v>
      </c>
      <c r="AM187" s="8">
        <v>2.9</v>
      </c>
      <c r="AN187" s="9">
        <v>14.21</v>
      </c>
      <c r="AO187" s="8">
        <v>39.3</v>
      </c>
      <c r="AP187" s="9">
        <v>5.58</v>
      </c>
      <c r="AQ187" s="1">
        <v>5.06</v>
      </c>
      <c r="AR187" s="8">
        <v>74.8</v>
      </c>
      <c r="AS187" s="8">
        <v>386.5</v>
      </c>
      <c r="AT187" s="9">
        <v>5.37</v>
      </c>
      <c r="AU187" s="9">
        <v>1.94</v>
      </c>
      <c r="AV187" s="9">
        <v>2.15</v>
      </c>
      <c r="AW187" s="9">
        <v>1.43</v>
      </c>
      <c r="AX187" s="9">
        <v>3.48</v>
      </c>
      <c r="AY187" s="8">
        <v>145.3</v>
      </c>
      <c r="AZ187" s="8">
        <v>28.2</v>
      </c>
      <c r="BA187" s="9">
        <v>1.01</v>
      </c>
      <c r="BB187" s="9">
        <v>3.66</v>
      </c>
      <c r="BC187" s="8">
        <v>158.4</v>
      </c>
      <c r="BD187" s="32">
        <v>4019</v>
      </c>
      <c r="BE187" s="32">
        <v>0</v>
      </c>
    </row>
    <row r="188" ht="15.6" spans="1:57">
      <c r="A188" s="14">
        <v>187</v>
      </c>
      <c r="B188" s="14" t="s">
        <v>236</v>
      </c>
      <c r="C188" s="15">
        <v>0</v>
      </c>
      <c r="D188" s="14">
        <v>2</v>
      </c>
      <c r="E188" s="14">
        <v>77</v>
      </c>
      <c r="F188" s="14">
        <v>1</v>
      </c>
      <c r="G188" s="14">
        <v>0</v>
      </c>
      <c r="H188" s="14">
        <v>160</v>
      </c>
      <c r="I188" s="14">
        <v>66</v>
      </c>
      <c r="J188" s="19">
        <f t="shared" si="12"/>
        <v>25.78125</v>
      </c>
      <c r="K188" s="14">
        <v>0.555</v>
      </c>
      <c r="L188" s="14">
        <v>0.348</v>
      </c>
      <c r="M188" s="14">
        <v>0.055</v>
      </c>
      <c r="N188" s="14">
        <v>212</v>
      </c>
      <c r="O188" s="20">
        <f t="shared" si="15"/>
        <v>0.0877155172413793</v>
      </c>
      <c r="P188" s="20">
        <f t="shared" si="16"/>
        <v>1.5948275862069</v>
      </c>
      <c r="Q188" s="20">
        <f t="shared" si="17"/>
        <v>0.0134981818181818</v>
      </c>
      <c r="R188" s="20">
        <f t="shared" si="18"/>
        <v>2.42424242424242</v>
      </c>
      <c r="S188" s="23">
        <v>1</v>
      </c>
      <c r="T188" s="14">
        <v>1</v>
      </c>
      <c r="U188" s="14">
        <v>1</v>
      </c>
      <c r="V188" s="14">
        <v>0</v>
      </c>
      <c r="W188" s="14">
        <v>0</v>
      </c>
      <c r="X188" s="14">
        <v>3</v>
      </c>
      <c r="Y188" s="14">
        <v>1</v>
      </c>
      <c r="Z188" s="14">
        <v>0</v>
      </c>
      <c r="AA188" s="20">
        <v>1.01</v>
      </c>
      <c r="AB188" s="1">
        <v>5.4</v>
      </c>
      <c r="AC188" s="1">
        <v>135</v>
      </c>
      <c r="AD188" s="1">
        <v>5.72</v>
      </c>
      <c r="AE188" s="7">
        <v>0.4</v>
      </c>
      <c r="AF188" s="8">
        <v>87.5</v>
      </c>
      <c r="AG188" s="1">
        <v>338</v>
      </c>
      <c r="AH188" s="8">
        <v>9.9</v>
      </c>
      <c r="AI188" s="8">
        <v>33.6</v>
      </c>
      <c r="AJ188" s="9">
        <v>4.32</v>
      </c>
      <c r="AK188" s="8">
        <v>41.5</v>
      </c>
      <c r="AL188" s="8">
        <v>12.3</v>
      </c>
      <c r="AM188" s="8">
        <v>3.9</v>
      </c>
      <c r="AN188" s="9">
        <v>9.29</v>
      </c>
      <c r="AO188" s="8">
        <v>21.4</v>
      </c>
      <c r="AP188" s="9">
        <v>5.11</v>
      </c>
      <c r="AQ188" s="9">
        <v>4.8</v>
      </c>
      <c r="AR188" s="8">
        <v>56.9</v>
      </c>
      <c r="AS188" s="8">
        <v>356.6</v>
      </c>
      <c r="AT188" s="9">
        <v>4.97</v>
      </c>
      <c r="AU188" s="9">
        <v>1.18</v>
      </c>
      <c r="AV188" s="9">
        <v>2.24</v>
      </c>
      <c r="AW188" s="9">
        <v>1.21</v>
      </c>
      <c r="AX188" s="9">
        <v>3.45</v>
      </c>
      <c r="AY188" s="8">
        <v>143.6</v>
      </c>
      <c r="AZ188" s="8">
        <v>28.1</v>
      </c>
      <c r="BA188" s="9">
        <v>1.44</v>
      </c>
      <c r="BB188" s="9">
        <v>2.95</v>
      </c>
      <c r="BC188" s="8">
        <v>150.9</v>
      </c>
      <c r="BD188" s="32">
        <v>408</v>
      </c>
      <c r="BE188" s="32">
        <v>1</v>
      </c>
    </row>
    <row r="189" ht="15.6" spans="1:57">
      <c r="A189" s="14">
        <v>188</v>
      </c>
      <c r="B189" s="14" t="s">
        <v>237</v>
      </c>
      <c r="C189" s="15">
        <v>0</v>
      </c>
      <c r="D189" s="14">
        <v>2</v>
      </c>
      <c r="E189" s="14">
        <v>32</v>
      </c>
      <c r="F189" s="14">
        <v>0</v>
      </c>
      <c r="G189" s="14">
        <v>0</v>
      </c>
      <c r="H189" s="14">
        <v>165</v>
      </c>
      <c r="I189" s="14">
        <v>52</v>
      </c>
      <c r="J189" s="19">
        <f t="shared" si="12"/>
        <v>19.1000918273646</v>
      </c>
      <c r="K189" s="14">
        <v>0.429</v>
      </c>
      <c r="L189" s="14">
        <v>0.484</v>
      </c>
      <c r="M189" s="14">
        <v>0.056</v>
      </c>
      <c r="N189" s="14">
        <v>307</v>
      </c>
      <c r="O189" s="20">
        <f t="shared" si="15"/>
        <v>0.0496363636363636</v>
      </c>
      <c r="P189" s="20">
        <f t="shared" si="16"/>
        <v>0.886363636363636</v>
      </c>
      <c r="Q189" s="20">
        <f t="shared" si="17"/>
        <v>0.0253401923076923</v>
      </c>
      <c r="R189" s="20">
        <f t="shared" si="18"/>
        <v>3.17307692307692</v>
      </c>
      <c r="S189" s="23">
        <v>1</v>
      </c>
      <c r="T189" s="14">
        <v>1</v>
      </c>
      <c r="U189" s="14">
        <v>2</v>
      </c>
      <c r="V189" s="14">
        <v>0</v>
      </c>
      <c r="W189" s="14">
        <v>0</v>
      </c>
      <c r="X189" s="14">
        <v>3</v>
      </c>
      <c r="Y189" s="14">
        <v>2</v>
      </c>
      <c r="Z189" s="1">
        <v>0</v>
      </c>
      <c r="AA189" s="20">
        <v>1.01</v>
      </c>
      <c r="AB189" s="8">
        <v>6</v>
      </c>
      <c r="AC189" s="1">
        <v>121</v>
      </c>
      <c r="AD189" s="1">
        <v>4.83</v>
      </c>
      <c r="AE189" s="7">
        <v>0.366</v>
      </c>
      <c r="AF189" s="8">
        <v>96.1</v>
      </c>
      <c r="AG189" s="1">
        <v>331</v>
      </c>
      <c r="AH189" s="8">
        <v>10.6</v>
      </c>
      <c r="AI189" s="8">
        <v>33.9</v>
      </c>
      <c r="AJ189" s="9">
        <v>2.26</v>
      </c>
      <c r="AK189" s="8">
        <v>36.8</v>
      </c>
      <c r="AL189" s="8">
        <v>8</v>
      </c>
      <c r="AM189" s="8">
        <v>1.6</v>
      </c>
      <c r="AN189" s="9">
        <v>11.4</v>
      </c>
      <c r="AO189" s="8">
        <v>8.1</v>
      </c>
      <c r="AP189" s="9">
        <v>4.37</v>
      </c>
      <c r="AQ189" s="1">
        <v>3.36</v>
      </c>
      <c r="AR189" s="8">
        <v>62.6</v>
      </c>
      <c r="AS189" s="8">
        <v>259.1</v>
      </c>
      <c r="AT189" s="9">
        <v>4.65</v>
      </c>
      <c r="AU189" s="9">
        <v>1.06</v>
      </c>
      <c r="AV189" s="9">
        <v>2.22</v>
      </c>
      <c r="AW189" s="9">
        <v>1.3</v>
      </c>
      <c r="AX189" s="9">
        <v>4.06</v>
      </c>
      <c r="AY189" s="8">
        <v>141.1</v>
      </c>
      <c r="AZ189" s="8">
        <v>25.5</v>
      </c>
      <c r="BA189" s="9">
        <v>1.78</v>
      </c>
      <c r="BB189" s="9">
        <v>2.35</v>
      </c>
      <c r="BC189" s="8">
        <v>168.3</v>
      </c>
      <c r="BD189" s="10">
        <v>3260</v>
      </c>
      <c r="BE189" s="32">
        <v>0</v>
      </c>
    </row>
    <row r="190" ht="15.6" spans="1:57">
      <c r="A190" s="14">
        <v>189</v>
      </c>
      <c r="B190" s="14" t="s">
        <v>238</v>
      </c>
      <c r="C190" s="15">
        <v>1</v>
      </c>
      <c r="D190" s="14">
        <v>1</v>
      </c>
      <c r="E190" s="14">
        <v>48</v>
      </c>
      <c r="F190" s="14">
        <v>0</v>
      </c>
      <c r="G190" s="14">
        <v>0</v>
      </c>
      <c r="H190" s="14">
        <v>166</v>
      </c>
      <c r="I190" s="14">
        <v>72</v>
      </c>
      <c r="J190" s="19">
        <f t="shared" si="12"/>
        <v>26.1286108288576</v>
      </c>
      <c r="K190" s="14">
        <v>0.644</v>
      </c>
      <c r="L190" s="14">
        <v>0.239</v>
      </c>
      <c r="M190" s="14">
        <v>0.076</v>
      </c>
      <c r="N190" s="14">
        <v>247</v>
      </c>
      <c r="O190" s="20">
        <f t="shared" si="15"/>
        <v>0.204786610878661</v>
      </c>
      <c r="P190" s="20">
        <f t="shared" si="16"/>
        <v>2.69456066945607</v>
      </c>
      <c r="Q190" s="20">
        <f t="shared" si="17"/>
        <v>0.00914706111111111</v>
      </c>
      <c r="R190" s="20">
        <f t="shared" si="18"/>
        <v>2.30555555555556</v>
      </c>
      <c r="S190" s="23">
        <v>1</v>
      </c>
      <c r="T190" s="14">
        <v>2</v>
      </c>
      <c r="U190" s="14">
        <v>2</v>
      </c>
      <c r="V190" s="14">
        <v>2</v>
      </c>
      <c r="W190" s="14">
        <v>1</v>
      </c>
      <c r="X190" s="14">
        <v>2</v>
      </c>
      <c r="Y190" s="14">
        <v>4</v>
      </c>
      <c r="Z190" s="14">
        <v>0</v>
      </c>
      <c r="AA190" s="20">
        <v>1.023</v>
      </c>
      <c r="AB190" s="1">
        <v>1.8</v>
      </c>
      <c r="AC190" s="1">
        <v>135</v>
      </c>
      <c r="AD190" s="1">
        <v>6.95</v>
      </c>
      <c r="AE190" s="7">
        <v>0.394</v>
      </c>
      <c r="AF190" s="8">
        <v>92.9</v>
      </c>
      <c r="AG190" s="1">
        <v>343</v>
      </c>
      <c r="AH190" s="8">
        <v>9.8</v>
      </c>
      <c r="AI190" s="8">
        <v>37.4</v>
      </c>
      <c r="AJ190" s="9">
        <v>4.8</v>
      </c>
      <c r="AK190" s="8">
        <v>42.3</v>
      </c>
      <c r="AL190" s="8">
        <v>9.3</v>
      </c>
      <c r="AM190" s="8">
        <v>2.3</v>
      </c>
      <c r="AN190" s="9">
        <v>15.9</v>
      </c>
      <c r="AO190" s="8">
        <v>20</v>
      </c>
      <c r="AP190" s="9">
        <v>4.61</v>
      </c>
      <c r="AQ190" s="1">
        <v>4.36</v>
      </c>
      <c r="AR190" s="8">
        <v>84.4</v>
      </c>
      <c r="AS190" s="8">
        <v>294.7</v>
      </c>
      <c r="AT190" s="9">
        <v>4.31</v>
      </c>
      <c r="AU190" s="9">
        <v>1.8</v>
      </c>
      <c r="AV190" s="9">
        <v>2.35</v>
      </c>
      <c r="AW190" s="9">
        <v>1.41</v>
      </c>
      <c r="AX190" s="9">
        <v>4.32</v>
      </c>
      <c r="AY190" s="8">
        <v>141.3</v>
      </c>
      <c r="AZ190" s="8">
        <v>26.9</v>
      </c>
      <c r="BA190" s="9">
        <v>0.62</v>
      </c>
      <c r="BB190" s="9">
        <v>2.9</v>
      </c>
      <c r="BC190" s="8">
        <v>151.4</v>
      </c>
      <c r="BD190" s="32">
        <v>620</v>
      </c>
      <c r="BE190" s="32">
        <v>1</v>
      </c>
    </row>
    <row r="191" ht="15.6" spans="1:57">
      <c r="A191" s="14">
        <v>190</v>
      </c>
      <c r="B191" s="14" t="s">
        <v>239</v>
      </c>
      <c r="C191" s="15">
        <v>0</v>
      </c>
      <c r="D191" s="14">
        <v>1</v>
      </c>
      <c r="E191" s="14">
        <v>61</v>
      </c>
      <c r="F191" s="14">
        <v>0</v>
      </c>
      <c r="G191" s="14">
        <v>0</v>
      </c>
      <c r="H191" s="14">
        <v>173</v>
      </c>
      <c r="I191" s="14">
        <v>70</v>
      </c>
      <c r="J191" s="19">
        <f t="shared" si="12"/>
        <v>23.3886865581877</v>
      </c>
      <c r="K191" s="14">
        <v>0.387</v>
      </c>
      <c r="L191" s="14">
        <v>0.512</v>
      </c>
      <c r="M191" s="14">
        <v>0.068</v>
      </c>
      <c r="N191" s="14">
        <v>289</v>
      </c>
      <c r="O191" s="20">
        <f t="shared" si="15"/>
        <v>0.0513984375</v>
      </c>
      <c r="P191" s="20">
        <f t="shared" si="16"/>
        <v>0.755859375</v>
      </c>
      <c r="Q191" s="20">
        <f t="shared" si="17"/>
        <v>0.0218909257142857</v>
      </c>
      <c r="R191" s="20">
        <f t="shared" si="18"/>
        <v>2.47142857142857</v>
      </c>
      <c r="S191" s="23">
        <v>2</v>
      </c>
      <c r="T191" s="14">
        <v>2</v>
      </c>
      <c r="U191" s="14">
        <v>1</v>
      </c>
      <c r="V191" s="14">
        <v>0</v>
      </c>
      <c r="W191" s="14">
        <v>0</v>
      </c>
      <c r="X191" s="14">
        <v>1</v>
      </c>
      <c r="Y191" s="14">
        <v>1</v>
      </c>
      <c r="Z191" s="1">
        <v>0</v>
      </c>
      <c r="AA191" s="20">
        <v>1.01</v>
      </c>
      <c r="AB191" s="1">
        <v>7.6</v>
      </c>
      <c r="AC191" s="1">
        <v>136</v>
      </c>
      <c r="AD191" s="1">
        <v>5.18</v>
      </c>
      <c r="AE191" s="7">
        <v>0.421</v>
      </c>
      <c r="AF191" s="8">
        <v>94.2</v>
      </c>
      <c r="AG191" s="1">
        <v>323</v>
      </c>
      <c r="AH191" s="8">
        <v>10.1</v>
      </c>
      <c r="AI191" s="8">
        <v>33</v>
      </c>
      <c r="AJ191" s="9">
        <v>2.15</v>
      </c>
      <c r="AK191" s="8">
        <v>38.8</v>
      </c>
      <c r="AL191" s="8">
        <v>14.1</v>
      </c>
      <c r="AM191" s="8">
        <v>3.6</v>
      </c>
      <c r="AN191" s="9">
        <v>12.3</v>
      </c>
      <c r="AO191" s="8">
        <v>13.7</v>
      </c>
      <c r="AP191" s="9">
        <v>4.54</v>
      </c>
      <c r="AQ191" s="9">
        <v>4.7</v>
      </c>
      <c r="AR191" s="8">
        <v>87.9</v>
      </c>
      <c r="AS191" s="8">
        <v>399.9</v>
      </c>
      <c r="AT191" s="9">
        <v>3.91</v>
      </c>
      <c r="AU191" s="9">
        <v>1.41</v>
      </c>
      <c r="AV191" s="9">
        <v>2.3</v>
      </c>
      <c r="AW191" s="9">
        <v>1.19</v>
      </c>
      <c r="AX191" s="9">
        <v>4.43</v>
      </c>
      <c r="AY191" s="8">
        <v>143.2</v>
      </c>
      <c r="AZ191" s="8">
        <v>33</v>
      </c>
      <c r="BA191" s="9">
        <v>0.92</v>
      </c>
      <c r="BB191" s="9">
        <v>2.48</v>
      </c>
      <c r="BC191" s="8">
        <v>155.3</v>
      </c>
      <c r="BD191" s="10">
        <v>3329</v>
      </c>
      <c r="BE191" s="32">
        <v>0</v>
      </c>
    </row>
    <row r="192" ht="15.6" spans="1:57">
      <c r="A192" s="14">
        <v>191</v>
      </c>
      <c r="B192" s="14" t="s">
        <v>240</v>
      </c>
      <c r="C192" s="15">
        <v>0</v>
      </c>
      <c r="D192" s="14">
        <v>1</v>
      </c>
      <c r="E192" s="14">
        <v>56</v>
      </c>
      <c r="F192" s="14">
        <v>0</v>
      </c>
      <c r="G192" s="14">
        <v>0</v>
      </c>
      <c r="H192" s="14">
        <v>165</v>
      </c>
      <c r="I192" s="14">
        <v>60</v>
      </c>
      <c r="J192" s="19">
        <f t="shared" si="12"/>
        <v>22.038567493113</v>
      </c>
      <c r="K192" s="14">
        <v>0.364</v>
      </c>
      <c r="L192" s="14">
        <v>0.547</v>
      </c>
      <c r="M192" s="14">
        <v>0.066</v>
      </c>
      <c r="N192" s="14">
        <v>139</v>
      </c>
      <c r="O192" s="20">
        <f t="shared" si="15"/>
        <v>0.0439195612431444</v>
      </c>
      <c r="P192" s="20">
        <f t="shared" si="16"/>
        <v>0.6654478976234</v>
      </c>
      <c r="Q192" s="20">
        <f t="shared" si="17"/>
        <v>0.024820125</v>
      </c>
      <c r="R192" s="20">
        <f t="shared" si="18"/>
        <v>2.75</v>
      </c>
      <c r="S192" s="23">
        <v>1</v>
      </c>
      <c r="T192" s="14">
        <v>1</v>
      </c>
      <c r="U192" s="14">
        <v>2</v>
      </c>
      <c r="V192" s="14">
        <v>2</v>
      </c>
      <c r="W192" s="14">
        <v>1</v>
      </c>
      <c r="X192" s="14">
        <v>2</v>
      </c>
      <c r="Y192" s="14">
        <v>4</v>
      </c>
      <c r="Z192" s="1">
        <v>0</v>
      </c>
      <c r="AA192" s="20">
        <v>1.019</v>
      </c>
      <c r="AB192" s="1">
        <v>9.4</v>
      </c>
      <c r="AC192" s="1">
        <v>137</v>
      </c>
      <c r="AD192" s="1">
        <v>3.93</v>
      </c>
      <c r="AE192" s="7">
        <v>0.415</v>
      </c>
      <c r="AF192" s="8">
        <v>91.6</v>
      </c>
      <c r="AG192" s="1">
        <v>330</v>
      </c>
      <c r="AH192" s="8">
        <v>11.8</v>
      </c>
      <c r="AI192" s="8">
        <v>41</v>
      </c>
      <c r="AJ192" s="9">
        <v>2.85</v>
      </c>
      <c r="AK192" s="8">
        <v>38.8</v>
      </c>
      <c r="AL192" s="8">
        <v>8.8</v>
      </c>
      <c r="AM192" s="8">
        <v>3.3</v>
      </c>
      <c r="AN192" s="9">
        <v>11.9</v>
      </c>
      <c r="AO192" s="8">
        <v>27.3</v>
      </c>
      <c r="AP192" s="9">
        <v>4.24</v>
      </c>
      <c r="AQ192" s="9">
        <v>4.2</v>
      </c>
      <c r="AR192" s="8">
        <v>66.4</v>
      </c>
      <c r="AS192" s="8">
        <v>296.3</v>
      </c>
      <c r="AT192" s="9">
        <v>3.5</v>
      </c>
      <c r="AU192" s="9">
        <v>0.42</v>
      </c>
      <c r="AV192" s="9">
        <v>2.27</v>
      </c>
      <c r="AW192" s="9">
        <v>1.12</v>
      </c>
      <c r="AX192" s="9">
        <v>3.93</v>
      </c>
      <c r="AY192" s="8">
        <v>142.8</v>
      </c>
      <c r="AZ192" s="8">
        <v>32.1</v>
      </c>
      <c r="BA192" s="9">
        <v>1.06</v>
      </c>
      <c r="BB192" s="9">
        <v>2.23</v>
      </c>
      <c r="BC192" s="8">
        <v>160.5</v>
      </c>
      <c r="BD192" s="32">
        <v>1729</v>
      </c>
      <c r="BE192" s="32">
        <v>1</v>
      </c>
    </row>
    <row r="193" ht="15.6" spans="1:57">
      <c r="A193" s="14">
        <v>192</v>
      </c>
      <c r="B193" s="14" t="s">
        <v>241</v>
      </c>
      <c r="C193" s="15">
        <v>1</v>
      </c>
      <c r="D193" s="14">
        <v>1</v>
      </c>
      <c r="E193" s="14">
        <v>48</v>
      </c>
      <c r="F193" s="14">
        <v>0</v>
      </c>
      <c r="G193" s="14">
        <v>0</v>
      </c>
      <c r="H193" s="14">
        <v>160</v>
      </c>
      <c r="I193" s="14">
        <v>77</v>
      </c>
      <c r="J193" s="19">
        <f t="shared" si="12"/>
        <v>30.078125</v>
      </c>
      <c r="K193" s="14">
        <v>0.577</v>
      </c>
      <c r="L193" s="14">
        <v>0.3</v>
      </c>
      <c r="M193" s="14">
        <v>0.064</v>
      </c>
      <c r="N193" s="14">
        <v>168</v>
      </c>
      <c r="O193" s="20">
        <f t="shared" si="15"/>
        <v>0.123093333333333</v>
      </c>
      <c r="P193" s="20">
        <f t="shared" si="16"/>
        <v>1.92333333333333</v>
      </c>
      <c r="Q193" s="20">
        <f t="shared" si="17"/>
        <v>0.00997402597402598</v>
      </c>
      <c r="R193" s="20">
        <f t="shared" si="18"/>
        <v>2.07792207792208</v>
      </c>
      <c r="S193" s="23">
        <v>3</v>
      </c>
      <c r="T193" s="14">
        <v>1</v>
      </c>
      <c r="U193" s="14">
        <v>2</v>
      </c>
      <c r="V193" s="14">
        <v>3</v>
      </c>
      <c r="W193" s="14">
        <v>1</v>
      </c>
      <c r="X193" s="14">
        <v>2</v>
      </c>
      <c r="Y193" s="14">
        <v>4</v>
      </c>
      <c r="Z193" s="14">
        <v>0</v>
      </c>
      <c r="AA193" s="20">
        <v>1.023</v>
      </c>
      <c r="AB193" s="1">
        <v>9.5</v>
      </c>
      <c r="AC193" s="1">
        <v>145</v>
      </c>
      <c r="AD193" s="1">
        <v>4.07</v>
      </c>
      <c r="AE193" s="7">
        <v>0.403</v>
      </c>
      <c r="AF193" s="8">
        <v>89.6</v>
      </c>
      <c r="AG193" s="1">
        <v>360</v>
      </c>
      <c r="AH193" s="8">
        <v>10.4</v>
      </c>
      <c r="AI193" s="8">
        <v>35.7</v>
      </c>
      <c r="AJ193" s="9">
        <v>2.64</v>
      </c>
      <c r="AK193" s="8">
        <v>41.8</v>
      </c>
      <c r="AL193" s="8">
        <v>13.1</v>
      </c>
      <c r="AM193" s="8">
        <v>4</v>
      </c>
      <c r="AN193" s="9">
        <v>12.3</v>
      </c>
      <c r="AO193" s="8">
        <v>20.1</v>
      </c>
      <c r="AP193" s="9">
        <v>5.24</v>
      </c>
      <c r="AQ193" s="1">
        <v>5.16</v>
      </c>
      <c r="AR193" s="8">
        <v>84.2</v>
      </c>
      <c r="AS193" s="8">
        <v>396.2</v>
      </c>
      <c r="AT193" s="9">
        <v>3.65</v>
      </c>
      <c r="AU193" s="9">
        <v>1.78</v>
      </c>
      <c r="AV193" s="9">
        <v>2.33</v>
      </c>
      <c r="AW193" s="9">
        <v>1.24</v>
      </c>
      <c r="AX193" s="9">
        <v>3.91</v>
      </c>
      <c r="AY193" s="8">
        <v>143.3</v>
      </c>
      <c r="AZ193" s="8">
        <v>27.2</v>
      </c>
      <c r="BA193" s="9">
        <v>0.82</v>
      </c>
      <c r="BB193" s="9">
        <v>2.1</v>
      </c>
      <c r="BC193" s="8">
        <v>165.1</v>
      </c>
      <c r="BD193" s="32">
        <v>928</v>
      </c>
      <c r="BE193" s="32">
        <v>1</v>
      </c>
    </row>
    <row r="194" ht="15.6" spans="1:57">
      <c r="A194" s="14">
        <v>193</v>
      </c>
      <c r="B194" s="14" t="s">
        <v>242</v>
      </c>
      <c r="C194" s="15">
        <v>1</v>
      </c>
      <c r="D194" s="14">
        <v>2</v>
      </c>
      <c r="E194" s="14">
        <v>70</v>
      </c>
      <c r="F194" s="14">
        <v>0</v>
      </c>
      <c r="G194" s="14">
        <v>0</v>
      </c>
      <c r="H194" s="14">
        <v>158</v>
      </c>
      <c r="I194" s="14">
        <v>50</v>
      </c>
      <c r="J194" s="19">
        <f t="shared" ref="J194:J225" si="19">I194/((H194/100)*(H194/100))</f>
        <v>20.0288415318058</v>
      </c>
      <c r="K194" s="14">
        <v>0.611</v>
      </c>
      <c r="L194" s="14">
        <v>0.326</v>
      </c>
      <c r="M194" s="14">
        <v>0.05</v>
      </c>
      <c r="N194" s="14">
        <v>292</v>
      </c>
      <c r="O194" s="20">
        <f t="shared" si="15"/>
        <v>0.0937116564417178</v>
      </c>
      <c r="P194" s="20">
        <f t="shared" si="16"/>
        <v>1.87423312883436</v>
      </c>
      <c r="Q194" s="20">
        <f t="shared" si="17"/>
        <v>0.016276528</v>
      </c>
      <c r="R194" s="20">
        <f t="shared" si="18"/>
        <v>3.16</v>
      </c>
      <c r="S194" s="23">
        <v>2</v>
      </c>
      <c r="T194" s="14">
        <v>1</v>
      </c>
      <c r="U194" s="14">
        <v>3</v>
      </c>
      <c r="V194" s="14">
        <v>1</v>
      </c>
      <c r="W194" s="14">
        <v>1</v>
      </c>
      <c r="X194" s="14">
        <v>2</v>
      </c>
      <c r="Y194" s="14">
        <v>4</v>
      </c>
      <c r="Z194" s="14">
        <v>1</v>
      </c>
      <c r="AA194" s="20">
        <v>1.005</v>
      </c>
      <c r="AB194" s="1">
        <v>3.3</v>
      </c>
      <c r="AC194" s="1">
        <v>129</v>
      </c>
      <c r="AD194" s="1">
        <v>6.73</v>
      </c>
      <c r="AE194" s="7">
        <v>0.378</v>
      </c>
      <c r="AF194" s="8">
        <v>92.6</v>
      </c>
      <c r="AG194" s="1">
        <v>341</v>
      </c>
      <c r="AH194" s="8">
        <v>11.2</v>
      </c>
      <c r="AI194" s="8">
        <v>37.4</v>
      </c>
      <c r="AJ194" s="9">
        <v>3.83</v>
      </c>
      <c r="AK194" s="8">
        <v>51.4</v>
      </c>
      <c r="AL194" s="8">
        <v>20.6</v>
      </c>
      <c r="AM194" s="8">
        <v>4.4</v>
      </c>
      <c r="AN194" s="9">
        <v>14.7</v>
      </c>
      <c r="AO194" s="8">
        <v>16.8</v>
      </c>
      <c r="AP194" s="9">
        <v>5.7</v>
      </c>
      <c r="AQ194" s="1">
        <v>4.06</v>
      </c>
      <c r="AR194" s="8">
        <v>63.4</v>
      </c>
      <c r="AS194" s="8">
        <v>247.4</v>
      </c>
      <c r="AT194" s="9">
        <v>4.96</v>
      </c>
      <c r="AU194" s="9">
        <v>1.25</v>
      </c>
      <c r="AV194" s="9">
        <v>2.4</v>
      </c>
      <c r="AW194" s="9">
        <v>1.42</v>
      </c>
      <c r="AX194" s="9">
        <v>5.02</v>
      </c>
      <c r="AY194" s="8">
        <v>140.9</v>
      </c>
      <c r="AZ194" s="8">
        <v>28.2</v>
      </c>
      <c r="BA194" s="9">
        <v>1.13</v>
      </c>
      <c r="BB194" s="9">
        <v>3.38</v>
      </c>
      <c r="BC194" s="8">
        <v>223.2</v>
      </c>
      <c r="BD194" s="32">
        <v>689</v>
      </c>
      <c r="BE194" s="32">
        <v>1</v>
      </c>
    </row>
    <row r="195" ht="15.6" spans="1:57">
      <c r="A195" s="14">
        <v>194</v>
      </c>
      <c r="B195" s="14" t="s">
        <v>243</v>
      </c>
      <c r="C195" s="15">
        <v>0</v>
      </c>
      <c r="D195" s="14">
        <v>2</v>
      </c>
      <c r="E195" s="14">
        <v>54</v>
      </c>
      <c r="F195" s="14">
        <v>0</v>
      </c>
      <c r="G195" s="14">
        <v>1</v>
      </c>
      <c r="H195" s="14">
        <v>164</v>
      </c>
      <c r="I195" s="14">
        <v>62</v>
      </c>
      <c r="J195" s="19">
        <f t="shared" si="19"/>
        <v>23.051754907793</v>
      </c>
      <c r="K195" s="14">
        <v>0.508</v>
      </c>
      <c r="L195" s="14">
        <v>0.418</v>
      </c>
      <c r="M195" s="14">
        <v>0.06</v>
      </c>
      <c r="N195" s="14">
        <v>245</v>
      </c>
      <c r="O195" s="20">
        <f t="shared" si="15"/>
        <v>0.0729186602870813</v>
      </c>
      <c r="P195" s="20">
        <f t="shared" si="16"/>
        <v>1.21531100478469</v>
      </c>
      <c r="Q195" s="20">
        <f t="shared" si="17"/>
        <v>0.0181331096774194</v>
      </c>
      <c r="R195" s="20">
        <f t="shared" si="18"/>
        <v>2.64516129032258</v>
      </c>
      <c r="S195" s="23">
        <v>1</v>
      </c>
      <c r="T195" s="14">
        <v>1</v>
      </c>
      <c r="U195" s="14">
        <v>1</v>
      </c>
      <c r="V195" s="14">
        <v>0</v>
      </c>
      <c r="W195" s="14">
        <v>0</v>
      </c>
      <c r="X195" s="14">
        <v>3</v>
      </c>
      <c r="Y195" s="14">
        <v>1</v>
      </c>
      <c r="Z195" s="14">
        <v>0</v>
      </c>
      <c r="AA195" s="20">
        <v>1.016</v>
      </c>
      <c r="AB195" s="1">
        <v>5.1</v>
      </c>
      <c r="AC195" s="1">
        <v>140</v>
      </c>
      <c r="AD195" s="1">
        <v>4.16</v>
      </c>
      <c r="AE195" s="7">
        <v>0.418</v>
      </c>
      <c r="AF195" s="8">
        <v>91.1</v>
      </c>
      <c r="AG195" s="1">
        <v>335</v>
      </c>
      <c r="AH195" s="8">
        <v>9.6</v>
      </c>
      <c r="AI195" s="8">
        <v>30.2</v>
      </c>
      <c r="AJ195" s="9">
        <v>3.15</v>
      </c>
      <c r="AK195" s="8">
        <v>43.3</v>
      </c>
      <c r="AL195" s="8">
        <v>11.9</v>
      </c>
      <c r="AM195" s="8">
        <v>3.1</v>
      </c>
      <c r="AN195" s="9">
        <v>8.1</v>
      </c>
      <c r="AO195" s="8">
        <v>29</v>
      </c>
      <c r="AP195" s="9">
        <v>6.5</v>
      </c>
      <c r="AQ195" s="1">
        <v>4.81</v>
      </c>
      <c r="AR195" s="8">
        <v>53.6</v>
      </c>
      <c r="AS195" s="8">
        <v>377</v>
      </c>
      <c r="AT195" s="9">
        <v>5.31</v>
      </c>
      <c r="AU195" s="9">
        <v>2.01</v>
      </c>
      <c r="AV195" s="9">
        <v>2.47</v>
      </c>
      <c r="AW195" s="9">
        <v>1.39</v>
      </c>
      <c r="AX195" s="9">
        <v>4.14</v>
      </c>
      <c r="AY195" s="8">
        <v>143.8</v>
      </c>
      <c r="AZ195" s="8">
        <v>23.5</v>
      </c>
      <c r="BA195" s="9">
        <v>1.23</v>
      </c>
      <c r="BB195" s="9">
        <v>3.5</v>
      </c>
      <c r="BC195" s="8">
        <v>174.9</v>
      </c>
      <c r="BD195" s="10">
        <v>3300</v>
      </c>
      <c r="BE195" s="32">
        <v>0</v>
      </c>
    </row>
    <row r="196" ht="15.6" spans="1:57">
      <c r="A196" s="14">
        <v>195</v>
      </c>
      <c r="B196" s="14" t="s">
        <v>244</v>
      </c>
      <c r="C196" s="15">
        <v>1</v>
      </c>
      <c r="D196" s="14">
        <v>1</v>
      </c>
      <c r="E196" s="14">
        <v>47</v>
      </c>
      <c r="F196" s="14">
        <v>1</v>
      </c>
      <c r="G196" s="14">
        <v>0</v>
      </c>
      <c r="H196" s="14">
        <v>173</v>
      </c>
      <c r="I196" s="14">
        <v>74</v>
      </c>
      <c r="J196" s="19">
        <f t="shared" si="19"/>
        <v>24.7251829329413</v>
      </c>
      <c r="K196" s="14">
        <v>0.67</v>
      </c>
      <c r="L196" s="14">
        <v>0.261</v>
      </c>
      <c r="M196" s="14">
        <v>0.061</v>
      </c>
      <c r="N196" s="14">
        <v>45</v>
      </c>
      <c r="O196" s="20">
        <f t="shared" si="15"/>
        <v>0.156590038314176</v>
      </c>
      <c r="P196" s="20">
        <f t="shared" si="16"/>
        <v>2.56704980842912</v>
      </c>
      <c r="Q196" s="20">
        <f t="shared" si="17"/>
        <v>0.0105560391891892</v>
      </c>
      <c r="R196" s="20">
        <f t="shared" si="18"/>
        <v>2.33783783783784</v>
      </c>
      <c r="S196" s="23">
        <v>2</v>
      </c>
      <c r="T196" s="14">
        <v>1</v>
      </c>
      <c r="U196" s="14">
        <v>2</v>
      </c>
      <c r="V196" s="14">
        <v>1</v>
      </c>
      <c r="W196" s="14">
        <v>1</v>
      </c>
      <c r="X196" s="14">
        <v>3</v>
      </c>
      <c r="Y196" s="14">
        <v>4</v>
      </c>
      <c r="Z196" s="1">
        <v>0</v>
      </c>
      <c r="AA196" s="20">
        <v>1.012</v>
      </c>
      <c r="AB196" s="1">
        <v>1.4</v>
      </c>
      <c r="AC196" s="1">
        <v>94</v>
      </c>
      <c r="AD196" s="9">
        <v>3.8</v>
      </c>
      <c r="AE196" s="7">
        <v>0.292</v>
      </c>
      <c r="AF196" s="8">
        <v>100</v>
      </c>
      <c r="AG196" s="1">
        <v>322</v>
      </c>
      <c r="AH196" s="8">
        <v>9.5</v>
      </c>
      <c r="AI196" s="8">
        <v>33.6</v>
      </c>
      <c r="AJ196" s="9">
        <v>2.87</v>
      </c>
      <c r="AK196" s="8">
        <v>34.5</v>
      </c>
      <c r="AL196" s="8">
        <v>32.9</v>
      </c>
      <c r="AM196" s="8">
        <v>10.6</v>
      </c>
      <c r="AN196" s="9">
        <v>12.9</v>
      </c>
      <c r="AO196" s="8">
        <v>563.5</v>
      </c>
      <c r="AP196" s="9">
        <v>6.46</v>
      </c>
      <c r="AQ196" s="1">
        <v>6.24</v>
      </c>
      <c r="AR196" s="8">
        <v>52.5</v>
      </c>
      <c r="AS196" s="8">
        <v>432.3</v>
      </c>
      <c r="AT196" s="9">
        <v>4.56</v>
      </c>
      <c r="AU196" s="9">
        <v>0.61</v>
      </c>
      <c r="AV196" s="9">
        <v>2.1</v>
      </c>
      <c r="AW196" s="9">
        <v>1.17</v>
      </c>
      <c r="AX196" s="9">
        <v>3.12</v>
      </c>
      <c r="AY196" s="8">
        <v>143.1</v>
      </c>
      <c r="AZ196" s="8">
        <v>27.8</v>
      </c>
      <c r="BA196" s="9">
        <v>1.53</v>
      </c>
      <c r="BB196" s="9">
        <v>2.69</v>
      </c>
      <c r="BC196" s="8">
        <v>146</v>
      </c>
      <c r="BD196" s="32">
        <v>1628</v>
      </c>
      <c r="BE196" s="32">
        <v>1</v>
      </c>
    </row>
    <row r="197" ht="15.6" spans="1:57">
      <c r="A197" s="14">
        <v>196</v>
      </c>
      <c r="B197" s="14" t="s">
        <v>245</v>
      </c>
      <c r="C197" s="15">
        <v>1</v>
      </c>
      <c r="D197" s="14">
        <v>1</v>
      </c>
      <c r="E197" s="14">
        <v>40</v>
      </c>
      <c r="F197" s="14">
        <v>0</v>
      </c>
      <c r="G197" s="14">
        <v>0</v>
      </c>
      <c r="H197" s="14">
        <v>180</v>
      </c>
      <c r="I197" s="14">
        <v>98</v>
      </c>
      <c r="J197" s="19">
        <f t="shared" si="19"/>
        <v>30.2469135802469</v>
      </c>
      <c r="K197" s="14">
        <v>0.556</v>
      </c>
      <c r="L197" s="14">
        <v>0.321</v>
      </c>
      <c r="M197" s="14">
        <v>0.074</v>
      </c>
      <c r="N197" s="14">
        <v>125</v>
      </c>
      <c r="O197" s="20">
        <f t="shared" si="15"/>
        <v>0.12817445482866</v>
      </c>
      <c r="P197" s="20">
        <f t="shared" si="16"/>
        <v>1.73208722741433</v>
      </c>
      <c r="Q197" s="20">
        <f t="shared" si="17"/>
        <v>0.0106126530612245</v>
      </c>
      <c r="R197" s="20">
        <f t="shared" si="18"/>
        <v>1.83673469387755</v>
      </c>
      <c r="S197" s="23">
        <v>1</v>
      </c>
      <c r="T197" s="14">
        <v>1</v>
      </c>
      <c r="U197" s="14">
        <v>2</v>
      </c>
      <c r="V197" s="14">
        <v>1</v>
      </c>
      <c r="W197" s="14">
        <v>1</v>
      </c>
      <c r="X197" s="14">
        <v>3</v>
      </c>
      <c r="Y197" s="14">
        <v>4</v>
      </c>
      <c r="Z197" s="14">
        <v>0</v>
      </c>
      <c r="AA197" s="20">
        <v>1.02</v>
      </c>
      <c r="AB197" s="1">
        <v>9.7</v>
      </c>
      <c r="AC197" s="1">
        <v>151</v>
      </c>
      <c r="AD197" s="1">
        <v>4.33</v>
      </c>
      <c r="AE197" s="7">
        <v>0.42</v>
      </c>
      <c r="AF197" s="8">
        <v>88.7</v>
      </c>
      <c r="AG197" s="1">
        <v>363</v>
      </c>
      <c r="AH197" s="8">
        <v>11.1</v>
      </c>
      <c r="AI197" s="8">
        <v>34.7</v>
      </c>
      <c r="AJ197" s="9">
        <v>2.94</v>
      </c>
      <c r="AK197" s="8">
        <v>41.8</v>
      </c>
      <c r="AL197" s="8">
        <v>21.3</v>
      </c>
      <c r="AM197" s="8">
        <v>5.2</v>
      </c>
      <c r="AN197" s="9">
        <v>26.1</v>
      </c>
      <c r="AO197" s="8">
        <v>22.2</v>
      </c>
      <c r="AP197" s="9">
        <v>4.2</v>
      </c>
      <c r="AQ197" s="1">
        <v>4.35</v>
      </c>
      <c r="AR197" s="8">
        <v>61.2</v>
      </c>
      <c r="AS197" s="8">
        <v>385.3</v>
      </c>
      <c r="AT197" s="9">
        <v>4.21</v>
      </c>
      <c r="AU197" s="9">
        <v>2.04</v>
      </c>
      <c r="AV197" s="9">
        <v>2.19</v>
      </c>
      <c r="AW197" s="9">
        <v>1.01</v>
      </c>
      <c r="AX197" s="9">
        <v>3.45</v>
      </c>
      <c r="AY197" s="8">
        <v>142.9</v>
      </c>
      <c r="AZ197" s="8">
        <v>26.1</v>
      </c>
      <c r="BA197" s="9">
        <v>0.73</v>
      </c>
      <c r="BB197" s="9">
        <v>2.8</v>
      </c>
      <c r="BC197" s="8">
        <v>144.5</v>
      </c>
      <c r="BD197" s="32">
        <v>1589</v>
      </c>
      <c r="BE197" s="32">
        <v>1</v>
      </c>
    </row>
    <row r="198" ht="15.6" spans="1:57">
      <c r="A198" s="14">
        <v>197</v>
      </c>
      <c r="B198" s="14" t="s">
        <v>246</v>
      </c>
      <c r="C198" s="15">
        <v>1</v>
      </c>
      <c r="D198" s="14">
        <v>1</v>
      </c>
      <c r="E198" s="14">
        <v>34</v>
      </c>
      <c r="F198" s="14">
        <v>0</v>
      </c>
      <c r="G198" s="14">
        <v>0</v>
      </c>
      <c r="H198" s="14">
        <v>171</v>
      </c>
      <c r="I198" s="14">
        <v>84</v>
      </c>
      <c r="J198" s="19">
        <f t="shared" si="19"/>
        <v>28.7267877295578</v>
      </c>
      <c r="K198" s="14">
        <v>0.692</v>
      </c>
      <c r="L198" s="14">
        <v>0.244</v>
      </c>
      <c r="M198" s="14">
        <v>0.04</v>
      </c>
      <c r="N198" s="14">
        <v>226</v>
      </c>
      <c r="O198" s="20">
        <f t="shared" si="15"/>
        <v>0.11344262295082</v>
      </c>
      <c r="P198" s="20">
        <f t="shared" si="16"/>
        <v>2.83606557377049</v>
      </c>
      <c r="Q198" s="20">
        <f t="shared" si="17"/>
        <v>0.00849381428571428</v>
      </c>
      <c r="R198" s="20">
        <f t="shared" si="18"/>
        <v>2.03571428571429</v>
      </c>
      <c r="S198" s="23">
        <v>1</v>
      </c>
      <c r="T198" s="14">
        <v>2</v>
      </c>
      <c r="U198" s="14">
        <v>1</v>
      </c>
      <c r="V198" s="14">
        <v>1</v>
      </c>
      <c r="W198" s="14">
        <v>1</v>
      </c>
      <c r="X198" s="14">
        <v>3</v>
      </c>
      <c r="Y198" s="14">
        <v>4</v>
      </c>
      <c r="Z198" s="1">
        <v>0</v>
      </c>
      <c r="AA198" s="20">
        <v>1.022</v>
      </c>
      <c r="AB198" s="1">
        <v>8.4</v>
      </c>
      <c r="AC198" s="1">
        <v>157</v>
      </c>
      <c r="AD198" s="1">
        <v>6.87</v>
      </c>
      <c r="AE198" s="7">
        <v>0.439</v>
      </c>
      <c r="AF198" s="8">
        <v>85.7</v>
      </c>
      <c r="AG198" s="1">
        <v>358</v>
      </c>
      <c r="AH198" s="8">
        <v>10.7</v>
      </c>
      <c r="AI198" s="8">
        <v>40.2</v>
      </c>
      <c r="AJ198" s="9">
        <v>2.75</v>
      </c>
      <c r="AK198" s="8">
        <v>45.1</v>
      </c>
      <c r="AL198" s="8">
        <v>17.1</v>
      </c>
      <c r="AM198" s="8">
        <v>3.9</v>
      </c>
      <c r="AN198" s="9">
        <v>17.2</v>
      </c>
      <c r="AO198" s="8">
        <v>30.4</v>
      </c>
      <c r="AP198" s="9">
        <v>4.97</v>
      </c>
      <c r="AQ198" s="1">
        <v>2.33</v>
      </c>
      <c r="AR198" s="8">
        <v>88.4</v>
      </c>
      <c r="AS198" s="8">
        <v>418.6</v>
      </c>
      <c r="AT198" s="9">
        <v>4.03</v>
      </c>
      <c r="AU198" s="9">
        <v>2.39</v>
      </c>
      <c r="AV198" s="9">
        <v>2.69</v>
      </c>
      <c r="AW198" s="9">
        <v>1.16</v>
      </c>
      <c r="AX198" s="9">
        <v>4.05</v>
      </c>
      <c r="AY198" s="8">
        <v>141</v>
      </c>
      <c r="AZ198" s="8">
        <v>26.6</v>
      </c>
      <c r="BA198" s="9">
        <v>0.85</v>
      </c>
      <c r="BB198" s="9">
        <v>2.3</v>
      </c>
      <c r="BC198" s="8">
        <v>187.1</v>
      </c>
      <c r="BD198" s="10">
        <v>3262</v>
      </c>
      <c r="BE198" s="32">
        <v>0</v>
      </c>
    </row>
    <row r="199" ht="15.6" spans="1:57">
      <c r="A199" s="14">
        <v>198</v>
      </c>
      <c r="B199" s="14" t="s">
        <v>247</v>
      </c>
      <c r="C199" s="15">
        <v>1</v>
      </c>
      <c r="D199" s="14">
        <v>1</v>
      </c>
      <c r="E199" s="14">
        <v>60</v>
      </c>
      <c r="F199" s="14">
        <v>0</v>
      </c>
      <c r="G199" s="14">
        <v>0</v>
      </c>
      <c r="H199" s="14">
        <v>170</v>
      </c>
      <c r="I199" s="14">
        <v>50</v>
      </c>
      <c r="J199" s="19">
        <f t="shared" si="19"/>
        <v>17.3010380622837</v>
      </c>
      <c r="K199" s="14">
        <v>0.839</v>
      </c>
      <c r="L199" s="14">
        <v>0.104</v>
      </c>
      <c r="M199" s="14">
        <v>0.049</v>
      </c>
      <c r="N199" s="14">
        <v>196</v>
      </c>
      <c r="O199" s="20">
        <f t="shared" si="15"/>
        <v>0.395298076923077</v>
      </c>
      <c r="P199" s="20">
        <f t="shared" si="16"/>
        <v>8.06730769230769</v>
      </c>
      <c r="Q199" s="20">
        <f t="shared" si="17"/>
        <v>0.0060112</v>
      </c>
      <c r="R199" s="20">
        <f t="shared" si="18"/>
        <v>3.4</v>
      </c>
      <c r="S199" s="23">
        <v>2</v>
      </c>
      <c r="T199" s="14">
        <v>2</v>
      </c>
      <c r="U199" s="14">
        <v>1</v>
      </c>
      <c r="V199" s="14">
        <v>1</v>
      </c>
      <c r="W199" s="14">
        <v>1</v>
      </c>
      <c r="X199" s="14">
        <v>2</v>
      </c>
      <c r="Y199" s="14">
        <v>4</v>
      </c>
      <c r="Z199" s="14">
        <v>0</v>
      </c>
      <c r="AA199" s="20">
        <v>1.02</v>
      </c>
      <c r="AB199" s="1">
        <v>3.2</v>
      </c>
      <c r="AC199" s="1">
        <v>131</v>
      </c>
      <c r="AD199" s="1">
        <v>6.53</v>
      </c>
      <c r="AE199" s="7">
        <v>0.393</v>
      </c>
      <c r="AF199" s="8">
        <v>100.5</v>
      </c>
      <c r="AG199" s="1">
        <v>333</v>
      </c>
      <c r="AH199" s="8">
        <v>9.6</v>
      </c>
      <c r="AI199" s="8">
        <v>32.8</v>
      </c>
      <c r="AJ199" s="9">
        <v>3.76</v>
      </c>
      <c r="AK199" s="8">
        <v>40.5</v>
      </c>
      <c r="AL199" s="8">
        <v>18.6</v>
      </c>
      <c r="AM199" s="8">
        <v>5.7</v>
      </c>
      <c r="AN199" s="9">
        <v>18.3</v>
      </c>
      <c r="AO199" s="8">
        <v>31.5</v>
      </c>
      <c r="AP199" s="9">
        <v>4.8</v>
      </c>
      <c r="AQ199" s="1">
        <v>3.92</v>
      </c>
      <c r="AR199" s="8">
        <v>79.1</v>
      </c>
      <c r="AS199" s="8">
        <v>350.4</v>
      </c>
      <c r="AT199" s="9">
        <v>4.04</v>
      </c>
      <c r="AU199" s="9">
        <v>0.89</v>
      </c>
      <c r="AV199" s="9">
        <v>2.22</v>
      </c>
      <c r="AW199" s="9">
        <v>1.24</v>
      </c>
      <c r="AX199" s="9">
        <v>3.58</v>
      </c>
      <c r="AY199" s="8">
        <v>142.2</v>
      </c>
      <c r="AZ199" s="8">
        <v>28</v>
      </c>
      <c r="BA199" s="9">
        <v>2.09</v>
      </c>
      <c r="BB199" s="9">
        <v>1.65</v>
      </c>
      <c r="BC199" s="8">
        <v>184</v>
      </c>
      <c r="BD199" s="32">
        <v>1358</v>
      </c>
      <c r="BE199" s="32">
        <v>1</v>
      </c>
    </row>
    <row r="200" ht="15.6" spans="1:57">
      <c r="A200" s="14">
        <v>199</v>
      </c>
      <c r="B200" s="14" t="s">
        <v>248</v>
      </c>
      <c r="C200" s="15">
        <v>1</v>
      </c>
      <c r="D200" s="14">
        <v>1</v>
      </c>
      <c r="E200" s="14">
        <v>60</v>
      </c>
      <c r="F200" s="14">
        <v>1</v>
      </c>
      <c r="G200" s="14">
        <v>0</v>
      </c>
      <c r="H200" s="14">
        <v>168</v>
      </c>
      <c r="I200" s="14">
        <v>79</v>
      </c>
      <c r="J200" s="19">
        <f t="shared" si="19"/>
        <v>27.9903628117914</v>
      </c>
      <c r="K200" s="14">
        <v>0.567</v>
      </c>
      <c r="L200" s="14">
        <v>0.333</v>
      </c>
      <c r="M200" s="14">
        <v>0.067</v>
      </c>
      <c r="N200" s="14">
        <v>296</v>
      </c>
      <c r="O200" s="20">
        <f t="shared" si="15"/>
        <v>0.114081081081081</v>
      </c>
      <c r="P200" s="20">
        <f t="shared" si="16"/>
        <v>1.7027027027027</v>
      </c>
      <c r="Q200" s="20">
        <f t="shared" si="17"/>
        <v>0.0118969518987342</v>
      </c>
      <c r="R200" s="20">
        <f t="shared" si="18"/>
        <v>2.12658227848101</v>
      </c>
      <c r="S200" s="23">
        <v>1</v>
      </c>
      <c r="T200" s="14">
        <v>1</v>
      </c>
      <c r="U200" s="14">
        <v>1</v>
      </c>
      <c r="V200" s="14">
        <v>1</v>
      </c>
      <c r="W200" s="14">
        <v>1</v>
      </c>
      <c r="X200" s="14">
        <v>3</v>
      </c>
      <c r="Y200" s="14">
        <v>4</v>
      </c>
      <c r="Z200" s="1">
        <v>0</v>
      </c>
      <c r="AA200" s="20">
        <v>1.019</v>
      </c>
      <c r="AB200" s="1">
        <v>4.7</v>
      </c>
      <c r="AC200" s="1">
        <v>154</v>
      </c>
      <c r="AD200" s="1">
        <v>8.98</v>
      </c>
      <c r="AE200" s="7">
        <v>0.448</v>
      </c>
      <c r="AF200" s="8">
        <v>95.1</v>
      </c>
      <c r="AG200" s="1">
        <v>344</v>
      </c>
      <c r="AH200" s="8">
        <v>10.8</v>
      </c>
      <c r="AI200" s="8">
        <v>30.8</v>
      </c>
      <c r="AJ200" s="9">
        <v>3.61</v>
      </c>
      <c r="AK200" s="8">
        <v>45.8</v>
      </c>
      <c r="AL200" s="8">
        <v>5.8</v>
      </c>
      <c r="AM200" s="8">
        <v>1.3</v>
      </c>
      <c r="AN200" s="9">
        <v>13.5</v>
      </c>
      <c r="AO200" s="8">
        <v>43.6</v>
      </c>
      <c r="AP200" s="9">
        <v>4.72</v>
      </c>
      <c r="AQ200" s="1">
        <v>5.58</v>
      </c>
      <c r="AR200" s="8">
        <v>68.6</v>
      </c>
      <c r="AS200" s="8">
        <v>286.9</v>
      </c>
      <c r="AT200" s="9">
        <v>4.74</v>
      </c>
      <c r="AU200" s="9">
        <v>2.81</v>
      </c>
      <c r="AV200" s="9">
        <v>2.36</v>
      </c>
      <c r="AW200" s="9">
        <v>1.27</v>
      </c>
      <c r="AX200" s="9">
        <v>4.42</v>
      </c>
      <c r="AY200" s="8">
        <v>139.6</v>
      </c>
      <c r="AZ200" s="8">
        <v>27.5</v>
      </c>
      <c r="BA200" s="9">
        <v>0.8</v>
      </c>
      <c r="BB200" s="9">
        <v>3.03</v>
      </c>
      <c r="BC200" s="8">
        <v>155.3</v>
      </c>
      <c r="BD200" s="32">
        <v>1935</v>
      </c>
      <c r="BE200" s="32">
        <v>1</v>
      </c>
    </row>
    <row r="201" ht="15.6" spans="1:57">
      <c r="A201" s="14">
        <v>200</v>
      </c>
      <c r="B201" s="14" t="s">
        <v>249</v>
      </c>
      <c r="C201" s="15">
        <v>1</v>
      </c>
      <c r="D201" s="14">
        <v>1</v>
      </c>
      <c r="E201" s="14">
        <v>65</v>
      </c>
      <c r="F201" s="14">
        <v>1</v>
      </c>
      <c r="G201" s="14">
        <v>1</v>
      </c>
      <c r="H201" s="14">
        <v>170</v>
      </c>
      <c r="I201" s="14">
        <v>65</v>
      </c>
      <c r="J201" s="19">
        <f t="shared" si="19"/>
        <v>22.4913494809689</v>
      </c>
      <c r="K201" s="20">
        <v>0.68</v>
      </c>
      <c r="L201" s="14">
        <v>0.247</v>
      </c>
      <c r="M201" s="14">
        <v>0.052</v>
      </c>
      <c r="N201" s="14">
        <v>333</v>
      </c>
      <c r="O201" s="20">
        <f t="shared" si="15"/>
        <v>0.143157894736842</v>
      </c>
      <c r="P201" s="20">
        <f t="shared" si="16"/>
        <v>2.75303643724696</v>
      </c>
      <c r="Q201" s="20">
        <f t="shared" si="17"/>
        <v>0.010982</v>
      </c>
      <c r="R201" s="20">
        <f t="shared" si="18"/>
        <v>2.61538461538462</v>
      </c>
      <c r="S201" s="23">
        <v>1</v>
      </c>
      <c r="T201" s="14">
        <v>1</v>
      </c>
      <c r="U201" s="14">
        <v>2</v>
      </c>
      <c r="V201" s="14">
        <v>0</v>
      </c>
      <c r="W201" s="14">
        <v>0</v>
      </c>
      <c r="X201" s="14">
        <v>3</v>
      </c>
      <c r="Y201" s="14">
        <v>2</v>
      </c>
      <c r="Z201" s="1">
        <v>0</v>
      </c>
      <c r="AA201" s="20">
        <v>1.013</v>
      </c>
      <c r="AB201" s="1">
        <v>74.6</v>
      </c>
      <c r="AC201" s="1">
        <v>137</v>
      </c>
      <c r="AD201" s="1">
        <v>12.17</v>
      </c>
      <c r="AE201" s="7">
        <v>0.393</v>
      </c>
      <c r="AF201" s="8">
        <v>89.7</v>
      </c>
      <c r="AG201" s="1">
        <v>349</v>
      </c>
      <c r="AH201" s="8">
        <v>10.9</v>
      </c>
      <c r="AI201" s="8">
        <v>36.2</v>
      </c>
      <c r="AJ201" s="9">
        <v>5.39</v>
      </c>
      <c r="AK201" s="8">
        <v>43.5</v>
      </c>
      <c r="AL201" s="8">
        <v>15.9</v>
      </c>
      <c r="AM201" s="8">
        <v>4.2</v>
      </c>
      <c r="AN201" s="9">
        <v>17.3</v>
      </c>
      <c r="AO201" s="8">
        <v>22.9</v>
      </c>
      <c r="AP201" s="9">
        <v>4.47</v>
      </c>
      <c r="AQ201" s="1">
        <v>6.36</v>
      </c>
      <c r="AR201" s="8">
        <v>105.8</v>
      </c>
      <c r="AS201" s="8">
        <v>300.4</v>
      </c>
      <c r="AT201" s="9">
        <v>5.86</v>
      </c>
      <c r="AU201" s="9">
        <v>1.19</v>
      </c>
      <c r="AV201" s="9">
        <v>2.45</v>
      </c>
      <c r="AW201" s="9">
        <v>1.21</v>
      </c>
      <c r="AX201" s="9">
        <v>2.34</v>
      </c>
      <c r="AY201" s="8">
        <v>145.8</v>
      </c>
      <c r="AZ201" s="8">
        <v>33.3</v>
      </c>
      <c r="BA201" s="9">
        <v>1.33</v>
      </c>
      <c r="BB201" s="9">
        <v>3.85</v>
      </c>
      <c r="BC201" s="8">
        <v>282.2</v>
      </c>
      <c r="BD201" s="10">
        <v>3413</v>
      </c>
      <c r="BE201" s="32">
        <v>0</v>
      </c>
    </row>
    <row r="202" ht="15.6" spans="1:57">
      <c r="A202" s="14">
        <v>201</v>
      </c>
      <c r="B202" s="14" t="s">
        <v>250</v>
      </c>
      <c r="C202" s="15">
        <v>1</v>
      </c>
      <c r="D202" s="14">
        <v>1</v>
      </c>
      <c r="E202" s="14">
        <v>58</v>
      </c>
      <c r="F202" s="14">
        <v>0</v>
      </c>
      <c r="G202" s="14">
        <v>0</v>
      </c>
      <c r="H202" s="14">
        <v>174</v>
      </c>
      <c r="I202" s="14">
        <v>52</v>
      </c>
      <c r="J202" s="19">
        <f t="shared" si="19"/>
        <v>17.1753203857841</v>
      </c>
      <c r="K202" s="14">
        <v>0.826</v>
      </c>
      <c r="L202" s="14">
        <v>0.135</v>
      </c>
      <c r="M202" s="14">
        <v>0.031</v>
      </c>
      <c r="N202" s="14">
        <v>195</v>
      </c>
      <c r="O202" s="20">
        <f t="shared" si="15"/>
        <v>0.189674074074074</v>
      </c>
      <c r="P202" s="20">
        <f t="shared" si="16"/>
        <v>6.11851851851852</v>
      </c>
      <c r="Q202" s="20">
        <f t="shared" si="17"/>
        <v>0.00786011538461539</v>
      </c>
      <c r="R202" s="20">
        <f t="shared" si="18"/>
        <v>3.34615384615385</v>
      </c>
      <c r="S202" s="23">
        <v>1</v>
      </c>
      <c r="T202" s="14">
        <v>1</v>
      </c>
      <c r="U202" s="14">
        <v>2</v>
      </c>
      <c r="V202" s="14">
        <v>3</v>
      </c>
      <c r="W202" s="14">
        <v>1</v>
      </c>
      <c r="X202" s="14">
        <v>2</v>
      </c>
      <c r="Y202" s="14">
        <v>4</v>
      </c>
      <c r="Z202" s="14">
        <v>0</v>
      </c>
      <c r="AA202" s="20">
        <v>1.021</v>
      </c>
      <c r="AB202" s="1">
        <v>10.6</v>
      </c>
      <c r="AC202" s="1">
        <v>126</v>
      </c>
      <c r="AD202" s="1">
        <v>10.59</v>
      </c>
      <c r="AE202" s="7">
        <v>0.37</v>
      </c>
      <c r="AF202" s="8">
        <v>105.7</v>
      </c>
      <c r="AG202" s="1">
        <v>341</v>
      </c>
      <c r="AH202" s="8">
        <v>12.8</v>
      </c>
      <c r="AI202" s="8">
        <v>30.9</v>
      </c>
      <c r="AJ202" s="9">
        <v>3.17</v>
      </c>
      <c r="AK202" s="8">
        <v>41.1</v>
      </c>
      <c r="AL202" s="8">
        <v>3</v>
      </c>
      <c r="AM202" s="8">
        <v>1.4</v>
      </c>
      <c r="AN202" s="9">
        <v>20.1</v>
      </c>
      <c r="AO202" s="8">
        <v>62.2</v>
      </c>
      <c r="AP202" s="9">
        <v>5.61</v>
      </c>
      <c r="AQ202" s="1">
        <v>6.86</v>
      </c>
      <c r="AR202" s="8">
        <v>89.2</v>
      </c>
      <c r="AS202" s="8">
        <v>381.7</v>
      </c>
      <c r="AT202" s="9">
        <v>4.05</v>
      </c>
      <c r="AU202" s="9">
        <v>1.28</v>
      </c>
      <c r="AV202" s="9">
        <v>2.32</v>
      </c>
      <c r="AW202" s="9">
        <v>0.81</v>
      </c>
      <c r="AX202" s="9">
        <v>4.12</v>
      </c>
      <c r="AY202" s="8">
        <v>141.1</v>
      </c>
      <c r="AZ202" s="8">
        <v>25.7</v>
      </c>
      <c r="BA202" s="9">
        <v>0.92</v>
      </c>
      <c r="BB202" s="9">
        <v>2.47</v>
      </c>
      <c r="BC202" s="8">
        <v>140.9</v>
      </c>
      <c r="BD202" s="32">
        <v>1903</v>
      </c>
      <c r="BE202" s="32">
        <v>1</v>
      </c>
    </row>
    <row r="203" ht="15.6" spans="1:57">
      <c r="A203" s="14">
        <v>202</v>
      </c>
      <c r="B203" s="14" t="s">
        <v>251</v>
      </c>
      <c r="C203" s="15">
        <v>0</v>
      </c>
      <c r="D203" s="14">
        <v>1</v>
      </c>
      <c r="E203" s="14">
        <v>33</v>
      </c>
      <c r="F203" s="14">
        <v>0</v>
      </c>
      <c r="G203" s="14">
        <v>0</v>
      </c>
      <c r="H203" s="14">
        <v>172</v>
      </c>
      <c r="I203" s="14">
        <v>64</v>
      </c>
      <c r="J203" s="19">
        <f t="shared" si="19"/>
        <v>21.6333153055706</v>
      </c>
      <c r="K203" s="14">
        <v>0.546</v>
      </c>
      <c r="L203" s="14">
        <v>0.328</v>
      </c>
      <c r="M203" s="14">
        <v>0.061</v>
      </c>
      <c r="N203" s="14">
        <v>252</v>
      </c>
      <c r="O203" s="20">
        <f t="shared" si="15"/>
        <v>0.101542682926829</v>
      </c>
      <c r="P203" s="20">
        <f t="shared" si="16"/>
        <v>1.66463414634146</v>
      </c>
      <c r="Q203" s="20">
        <f t="shared" si="17"/>
        <v>0.0151618</v>
      </c>
      <c r="R203" s="20">
        <f t="shared" si="18"/>
        <v>2.6875</v>
      </c>
      <c r="S203" s="23">
        <v>1</v>
      </c>
      <c r="T203" s="14">
        <v>1</v>
      </c>
      <c r="U203" s="14">
        <v>2</v>
      </c>
      <c r="V203" s="14">
        <v>2</v>
      </c>
      <c r="W203" s="14">
        <v>1</v>
      </c>
      <c r="X203" s="14">
        <v>3</v>
      </c>
      <c r="Y203" s="14">
        <v>4</v>
      </c>
      <c r="Z203" s="1">
        <v>0</v>
      </c>
      <c r="AA203" s="20">
        <v>1.011</v>
      </c>
      <c r="AB203" s="1">
        <v>3.9</v>
      </c>
      <c r="AC203" s="1">
        <v>135</v>
      </c>
      <c r="AD203" s="1">
        <v>4.45</v>
      </c>
      <c r="AE203" s="7">
        <v>0.403</v>
      </c>
      <c r="AF203" s="8">
        <v>95.5</v>
      </c>
      <c r="AG203" s="1">
        <v>335</v>
      </c>
      <c r="AH203" s="8">
        <v>10.8</v>
      </c>
      <c r="AI203" s="8">
        <v>34.3</v>
      </c>
      <c r="AJ203" s="9">
        <v>3.79</v>
      </c>
      <c r="AK203" s="8">
        <v>42.8</v>
      </c>
      <c r="AL203" s="8">
        <v>9.1</v>
      </c>
      <c r="AM203" s="8">
        <v>2.3</v>
      </c>
      <c r="AN203" s="9">
        <v>12</v>
      </c>
      <c r="AO203" s="8">
        <v>13.9</v>
      </c>
      <c r="AP203" s="9">
        <v>4.49</v>
      </c>
      <c r="AQ203" s="1">
        <v>4.01</v>
      </c>
      <c r="AR203" s="8">
        <v>77.4</v>
      </c>
      <c r="AS203" s="8">
        <v>281</v>
      </c>
      <c r="AT203" s="9">
        <v>4.84</v>
      </c>
      <c r="AU203" s="9">
        <v>1.03</v>
      </c>
      <c r="AV203" s="9">
        <v>2.24</v>
      </c>
      <c r="AW203" s="9">
        <v>1.47</v>
      </c>
      <c r="AX203" s="9">
        <v>4.01</v>
      </c>
      <c r="AY203" s="8">
        <v>140.3</v>
      </c>
      <c r="AZ203" s="8">
        <v>28.3</v>
      </c>
      <c r="BA203" s="9">
        <v>0.9</v>
      </c>
      <c r="BB203" s="9">
        <v>3.42</v>
      </c>
      <c r="BC203" s="8">
        <v>167</v>
      </c>
      <c r="BD203" s="10">
        <v>3305</v>
      </c>
      <c r="BE203" s="32">
        <v>0</v>
      </c>
    </row>
    <row r="204" ht="15.6" spans="1:57">
      <c r="A204" s="14">
        <v>203</v>
      </c>
      <c r="B204" s="14" t="s">
        <v>252</v>
      </c>
      <c r="C204" s="15">
        <v>1</v>
      </c>
      <c r="D204" s="14">
        <v>1</v>
      </c>
      <c r="E204" s="14">
        <v>64</v>
      </c>
      <c r="F204" s="14">
        <v>1</v>
      </c>
      <c r="G204" s="14">
        <v>1</v>
      </c>
      <c r="H204" s="14">
        <v>170</v>
      </c>
      <c r="I204" s="14">
        <v>74</v>
      </c>
      <c r="J204" s="19">
        <f t="shared" si="19"/>
        <v>25.6055363321799</v>
      </c>
      <c r="K204" s="14">
        <v>0.716</v>
      </c>
      <c r="L204" s="14">
        <v>0.201</v>
      </c>
      <c r="M204" s="14">
        <v>0.065</v>
      </c>
      <c r="N204" s="14">
        <v>151</v>
      </c>
      <c r="O204" s="20">
        <f t="shared" si="15"/>
        <v>0.231542288557214</v>
      </c>
      <c r="P204" s="20">
        <f t="shared" si="16"/>
        <v>3.56218905472637</v>
      </c>
      <c r="Q204" s="20">
        <f t="shared" si="17"/>
        <v>0.00784986486486486</v>
      </c>
      <c r="R204" s="20">
        <f t="shared" si="18"/>
        <v>2.2972972972973</v>
      </c>
      <c r="S204" s="23">
        <v>1</v>
      </c>
      <c r="T204" s="14">
        <v>1</v>
      </c>
      <c r="U204" s="14">
        <v>2</v>
      </c>
      <c r="V204" s="14">
        <v>0</v>
      </c>
      <c r="W204" s="14">
        <v>0</v>
      </c>
      <c r="X204" s="14">
        <v>2</v>
      </c>
      <c r="Y204" s="14">
        <v>2</v>
      </c>
      <c r="Z204" s="14">
        <v>0</v>
      </c>
      <c r="AA204" s="20">
        <v>1.03</v>
      </c>
      <c r="AB204" s="1">
        <v>4.6</v>
      </c>
      <c r="AC204" s="1">
        <v>162</v>
      </c>
      <c r="AD204" s="1">
        <v>7.28</v>
      </c>
      <c r="AE204" s="7">
        <v>0.469</v>
      </c>
      <c r="AF204" s="8">
        <v>95.5</v>
      </c>
      <c r="AG204" s="1">
        <v>345</v>
      </c>
      <c r="AH204" s="8">
        <v>11</v>
      </c>
      <c r="AI204" s="8">
        <v>32.8</v>
      </c>
      <c r="AJ204" s="9">
        <v>2.52</v>
      </c>
      <c r="AK204" s="8">
        <v>39.6</v>
      </c>
      <c r="AL204" s="8">
        <v>20.4</v>
      </c>
      <c r="AM204" s="8">
        <v>6.4</v>
      </c>
      <c r="AN204" s="9">
        <v>11.1</v>
      </c>
      <c r="AO204" s="8">
        <v>20</v>
      </c>
      <c r="AP204" s="9">
        <v>4.75</v>
      </c>
      <c r="AQ204" s="1">
        <v>7.96</v>
      </c>
      <c r="AR204" s="8">
        <v>83.5</v>
      </c>
      <c r="AS204" s="8">
        <v>238</v>
      </c>
      <c r="AT204" s="9">
        <v>4.38</v>
      </c>
      <c r="AU204" s="9">
        <v>0.86</v>
      </c>
      <c r="AV204" s="9">
        <v>2.24</v>
      </c>
      <c r="AW204" s="9">
        <v>1.09</v>
      </c>
      <c r="AX204" s="9">
        <v>3.57</v>
      </c>
      <c r="AY204" s="8">
        <v>145.1</v>
      </c>
      <c r="AZ204" s="8">
        <v>28.9</v>
      </c>
      <c r="BA204" s="9">
        <v>1.18</v>
      </c>
      <c r="BB204" s="9">
        <v>2.92</v>
      </c>
      <c r="BC204" s="8">
        <v>217.9</v>
      </c>
      <c r="BD204" s="32">
        <v>1085</v>
      </c>
      <c r="BE204" s="32">
        <v>1</v>
      </c>
    </row>
    <row r="205" ht="15.6" spans="1:57">
      <c r="A205" s="14">
        <v>204</v>
      </c>
      <c r="B205" s="14" t="s">
        <v>253</v>
      </c>
      <c r="C205" s="15">
        <v>0</v>
      </c>
      <c r="D205" s="14">
        <v>1</v>
      </c>
      <c r="E205" s="14">
        <v>45</v>
      </c>
      <c r="F205" s="14">
        <v>0</v>
      </c>
      <c r="G205" s="14">
        <v>0</v>
      </c>
      <c r="H205" s="14">
        <v>175</v>
      </c>
      <c r="I205" s="14">
        <v>79</v>
      </c>
      <c r="J205" s="19">
        <f t="shared" si="19"/>
        <v>25.7959183673469</v>
      </c>
      <c r="K205" s="14">
        <v>0.549</v>
      </c>
      <c r="L205" s="14">
        <v>0.335</v>
      </c>
      <c r="M205" s="14">
        <v>0.057</v>
      </c>
      <c r="N205" s="14">
        <v>195</v>
      </c>
      <c r="O205" s="20">
        <f t="shared" si="15"/>
        <v>0.0934119402985075</v>
      </c>
      <c r="P205" s="20">
        <f t="shared" si="16"/>
        <v>1.63880597014925</v>
      </c>
      <c r="Q205" s="20">
        <f t="shared" si="17"/>
        <v>0.0129865506329114</v>
      </c>
      <c r="R205" s="20">
        <f t="shared" si="18"/>
        <v>2.21518987341772</v>
      </c>
      <c r="S205" s="23">
        <v>3</v>
      </c>
      <c r="T205" s="14">
        <v>1</v>
      </c>
      <c r="U205" s="14">
        <v>1</v>
      </c>
      <c r="V205" s="14">
        <v>0</v>
      </c>
      <c r="W205" s="14">
        <v>0</v>
      </c>
      <c r="X205" s="14">
        <v>3</v>
      </c>
      <c r="Y205" s="14">
        <v>1</v>
      </c>
      <c r="Z205" s="14">
        <v>0</v>
      </c>
      <c r="AA205" s="20">
        <v>1.008</v>
      </c>
      <c r="AB205" s="1">
        <v>0.2</v>
      </c>
      <c r="AC205" s="1">
        <v>146</v>
      </c>
      <c r="AD205" s="1">
        <v>6.27</v>
      </c>
      <c r="AE205" s="7">
        <v>0.424</v>
      </c>
      <c r="AF205" s="8">
        <v>89.8</v>
      </c>
      <c r="AG205" s="1">
        <v>344</v>
      </c>
      <c r="AH205" s="8">
        <v>10.9</v>
      </c>
      <c r="AI205" s="8">
        <v>39.9</v>
      </c>
      <c r="AJ205" s="9">
        <v>2.85</v>
      </c>
      <c r="AK205" s="8">
        <v>43.8</v>
      </c>
      <c r="AL205" s="8">
        <v>6.2</v>
      </c>
      <c r="AM205" s="8">
        <v>1.8</v>
      </c>
      <c r="AN205" s="9">
        <v>15.1</v>
      </c>
      <c r="AO205" s="8">
        <v>24.8</v>
      </c>
      <c r="AP205" s="9">
        <v>7.17</v>
      </c>
      <c r="AQ205" s="1">
        <v>5.94</v>
      </c>
      <c r="AR205" s="8">
        <v>74.2</v>
      </c>
      <c r="AS205" s="8">
        <v>337.3</v>
      </c>
      <c r="AT205" s="9">
        <v>4.9</v>
      </c>
      <c r="AU205" s="9">
        <v>1.52</v>
      </c>
      <c r="AV205" s="9">
        <v>2.37</v>
      </c>
      <c r="AW205" s="9">
        <v>1.13</v>
      </c>
      <c r="AX205" s="9">
        <v>4.25</v>
      </c>
      <c r="AY205" s="8">
        <v>142.3</v>
      </c>
      <c r="AZ205" s="8">
        <v>25.9</v>
      </c>
      <c r="BA205" s="9">
        <v>0.83</v>
      </c>
      <c r="BB205" s="9">
        <v>3.46</v>
      </c>
      <c r="BC205" s="8">
        <v>232.7</v>
      </c>
      <c r="BD205" s="10">
        <v>3374</v>
      </c>
      <c r="BE205" s="10">
        <v>0</v>
      </c>
    </row>
    <row r="206" ht="15.6" spans="1:57">
      <c r="A206" s="14">
        <v>205</v>
      </c>
      <c r="B206" s="2" t="s">
        <v>254</v>
      </c>
      <c r="C206" s="15">
        <v>0</v>
      </c>
      <c r="D206" s="2">
        <v>1</v>
      </c>
      <c r="E206" s="2">
        <v>58</v>
      </c>
      <c r="F206" s="2">
        <v>1</v>
      </c>
      <c r="G206" s="2">
        <v>0</v>
      </c>
      <c r="H206" s="2">
        <v>176</v>
      </c>
      <c r="I206" s="2">
        <v>76</v>
      </c>
      <c r="J206" s="19">
        <f t="shared" si="19"/>
        <v>24.5351239669421</v>
      </c>
      <c r="K206" s="2">
        <v>0.486</v>
      </c>
      <c r="L206" s="2">
        <v>0.439</v>
      </c>
      <c r="M206" s="2">
        <v>0.043</v>
      </c>
      <c r="N206" s="2">
        <v>256</v>
      </c>
      <c r="O206" s="20">
        <f t="shared" si="15"/>
        <v>0.0476036446469248</v>
      </c>
      <c r="P206" s="20">
        <f t="shared" si="16"/>
        <v>1.10706150341686</v>
      </c>
      <c r="Q206" s="20">
        <f t="shared" si="17"/>
        <v>0.0178927157894737</v>
      </c>
      <c r="R206" s="20">
        <f t="shared" si="18"/>
        <v>2.31578947368421</v>
      </c>
      <c r="S206" s="23">
        <v>1</v>
      </c>
      <c r="T206" s="2">
        <v>1</v>
      </c>
      <c r="U206" s="2">
        <v>2</v>
      </c>
      <c r="V206" s="2">
        <v>2</v>
      </c>
      <c r="W206" s="2">
        <v>0</v>
      </c>
      <c r="X206" s="2">
        <v>2</v>
      </c>
      <c r="Y206" s="2">
        <v>4</v>
      </c>
      <c r="Z206" s="1">
        <v>0</v>
      </c>
      <c r="AA206" s="6">
        <v>1.033</v>
      </c>
      <c r="AB206" s="8">
        <v>11</v>
      </c>
      <c r="AC206" s="1">
        <v>134</v>
      </c>
      <c r="AD206" s="1">
        <v>5.33</v>
      </c>
      <c r="AE206" s="7">
        <v>0.39</v>
      </c>
      <c r="AF206" s="8">
        <v>90.3</v>
      </c>
      <c r="AG206" s="1">
        <v>344</v>
      </c>
      <c r="AH206" s="8">
        <v>9.9</v>
      </c>
      <c r="AI206" s="8">
        <v>38.2</v>
      </c>
      <c r="AJ206" s="9">
        <v>3.16</v>
      </c>
      <c r="AK206" s="8">
        <v>43.1</v>
      </c>
      <c r="AL206" s="8">
        <v>11.2</v>
      </c>
      <c r="AM206" s="8">
        <v>3.1</v>
      </c>
      <c r="AN206" s="9">
        <v>17</v>
      </c>
      <c r="AO206" s="8">
        <v>26.6</v>
      </c>
      <c r="AP206" s="9">
        <v>4.54</v>
      </c>
      <c r="AQ206" s="1">
        <v>7.68</v>
      </c>
      <c r="AR206" s="8">
        <v>98.2</v>
      </c>
      <c r="AS206" s="8">
        <v>243.9</v>
      </c>
      <c r="AT206" s="9">
        <v>5.64</v>
      </c>
      <c r="AU206" s="9">
        <v>1.12</v>
      </c>
      <c r="AV206" s="9">
        <v>2.25</v>
      </c>
      <c r="AW206" s="9">
        <v>0.93</v>
      </c>
      <c r="AX206" s="9">
        <v>3.69</v>
      </c>
      <c r="AY206" s="8">
        <v>145.6</v>
      </c>
      <c r="AZ206" s="8">
        <v>28.3</v>
      </c>
      <c r="BA206" s="9">
        <v>0.99</v>
      </c>
      <c r="BB206" s="9">
        <v>4.16</v>
      </c>
      <c r="BC206" s="8">
        <v>204.4</v>
      </c>
      <c r="BD206" s="10">
        <v>3381</v>
      </c>
      <c r="BE206" s="31">
        <v>0</v>
      </c>
    </row>
    <row r="207" ht="15.6" spans="1:57">
      <c r="A207" s="14">
        <v>206</v>
      </c>
      <c r="B207" s="2" t="s">
        <v>255</v>
      </c>
      <c r="C207" s="15">
        <v>0</v>
      </c>
      <c r="D207" s="2">
        <v>2</v>
      </c>
      <c r="E207" s="2">
        <v>85</v>
      </c>
      <c r="F207" s="2">
        <v>1</v>
      </c>
      <c r="G207" s="2">
        <v>0</v>
      </c>
      <c r="H207" s="2">
        <v>158</v>
      </c>
      <c r="I207" s="2">
        <v>64</v>
      </c>
      <c r="J207" s="19">
        <f t="shared" si="19"/>
        <v>25.6369171607114</v>
      </c>
      <c r="K207" s="2">
        <v>0.439</v>
      </c>
      <c r="L207" s="2">
        <v>0.489</v>
      </c>
      <c r="M207" s="2">
        <v>0.046</v>
      </c>
      <c r="N207" s="2">
        <v>139</v>
      </c>
      <c r="O207" s="20">
        <f t="shared" si="15"/>
        <v>0.0412965235173824</v>
      </c>
      <c r="P207" s="20">
        <f t="shared" si="16"/>
        <v>0.897750511247444</v>
      </c>
      <c r="Q207" s="20">
        <f t="shared" si="17"/>
        <v>0.01907405625</v>
      </c>
      <c r="R207" s="20">
        <f t="shared" si="18"/>
        <v>2.46875</v>
      </c>
      <c r="S207" s="23">
        <v>1</v>
      </c>
      <c r="T207" s="2">
        <v>1</v>
      </c>
      <c r="U207" s="2">
        <v>2</v>
      </c>
      <c r="V207" s="2">
        <v>1</v>
      </c>
      <c r="W207" s="2">
        <v>0</v>
      </c>
      <c r="X207" s="2">
        <v>2</v>
      </c>
      <c r="Y207" s="2">
        <v>4</v>
      </c>
      <c r="Z207" s="14">
        <v>0</v>
      </c>
      <c r="AA207" s="6">
        <v>1.014</v>
      </c>
      <c r="AB207" s="1">
        <v>5.5</v>
      </c>
      <c r="AC207" s="1">
        <v>115</v>
      </c>
      <c r="AD207" s="1">
        <v>7.59</v>
      </c>
      <c r="AE207" s="7">
        <v>0.368</v>
      </c>
      <c r="AF207" s="8">
        <v>98.7</v>
      </c>
      <c r="AG207" s="1">
        <v>313</v>
      </c>
      <c r="AH207" s="8">
        <v>11.6</v>
      </c>
      <c r="AI207" s="8">
        <v>31.4</v>
      </c>
      <c r="AJ207" s="9">
        <v>2.72</v>
      </c>
      <c r="AK207" s="8">
        <v>41.5</v>
      </c>
      <c r="AL207" s="8">
        <v>9.3</v>
      </c>
      <c r="AM207" s="8">
        <v>2.8</v>
      </c>
      <c r="AN207" s="9">
        <v>47.2</v>
      </c>
      <c r="AO207" s="8">
        <v>49.2</v>
      </c>
      <c r="AP207" s="9">
        <v>6.71</v>
      </c>
      <c r="AQ207" s="1">
        <v>6.57</v>
      </c>
      <c r="AR207" s="8">
        <v>72.9</v>
      </c>
      <c r="AS207" s="8">
        <v>355.5</v>
      </c>
      <c r="AT207" s="9">
        <v>5.5</v>
      </c>
      <c r="AU207" s="9">
        <v>3</v>
      </c>
      <c r="AV207" s="9">
        <v>2.27</v>
      </c>
      <c r="AW207" s="9">
        <v>1.21</v>
      </c>
      <c r="AX207" s="9">
        <v>4.2</v>
      </c>
      <c r="AY207" s="8">
        <v>141.4</v>
      </c>
      <c r="AZ207" s="8">
        <v>28.2</v>
      </c>
      <c r="BA207" s="9">
        <v>0.8</v>
      </c>
      <c r="BB207" s="9">
        <v>3.52</v>
      </c>
      <c r="BC207" s="8">
        <v>239.8</v>
      </c>
      <c r="BD207" s="31">
        <v>297</v>
      </c>
      <c r="BE207" s="31">
        <v>1</v>
      </c>
    </row>
    <row r="208" ht="15.6" spans="1:57">
      <c r="A208" s="14">
        <v>207</v>
      </c>
      <c r="B208" s="2" t="s">
        <v>256</v>
      </c>
      <c r="C208" s="15">
        <v>0</v>
      </c>
      <c r="D208" s="2">
        <v>2</v>
      </c>
      <c r="E208" s="2">
        <v>64</v>
      </c>
      <c r="F208" s="2">
        <v>1</v>
      </c>
      <c r="G208" s="2">
        <v>0</v>
      </c>
      <c r="H208" s="2">
        <v>160</v>
      </c>
      <c r="I208" s="2">
        <v>60</v>
      </c>
      <c r="J208" s="19">
        <f t="shared" si="19"/>
        <v>23.4375</v>
      </c>
      <c r="K208" s="2">
        <v>0.593</v>
      </c>
      <c r="L208" s="2">
        <v>0.324</v>
      </c>
      <c r="M208" s="2">
        <v>0.069</v>
      </c>
      <c r="N208" s="2">
        <v>248</v>
      </c>
      <c r="O208" s="20">
        <f t="shared" si="15"/>
        <v>0.126287037037037</v>
      </c>
      <c r="P208" s="20">
        <f t="shared" si="16"/>
        <v>1.83024691358025</v>
      </c>
      <c r="Q208" s="20">
        <f t="shared" si="17"/>
        <v>0.013824</v>
      </c>
      <c r="R208" s="34">
        <f t="shared" si="18"/>
        <v>2.66666666666667</v>
      </c>
      <c r="S208" s="23">
        <v>1</v>
      </c>
      <c r="T208" s="2">
        <v>1</v>
      </c>
      <c r="U208" s="2">
        <v>1</v>
      </c>
      <c r="V208" s="2">
        <v>0</v>
      </c>
      <c r="W208" s="2">
        <v>0</v>
      </c>
      <c r="X208" s="2">
        <v>1</v>
      </c>
      <c r="Y208" s="2">
        <v>1</v>
      </c>
      <c r="Z208" s="1">
        <v>0</v>
      </c>
      <c r="AA208" s="6">
        <v>1.009</v>
      </c>
      <c r="AB208" s="1">
        <v>3.1</v>
      </c>
      <c r="AC208" s="1">
        <v>128</v>
      </c>
      <c r="AD208" s="1">
        <v>5.21</v>
      </c>
      <c r="AE208" s="7">
        <v>0.376</v>
      </c>
      <c r="AF208" s="8">
        <v>91.9</v>
      </c>
      <c r="AG208" s="1">
        <v>340</v>
      </c>
      <c r="AH208" s="8">
        <v>10.9</v>
      </c>
      <c r="AI208" s="8">
        <v>36.2</v>
      </c>
      <c r="AJ208" s="9">
        <v>2.59</v>
      </c>
      <c r="AK208" s="8">
        <v>43.6</v>
      </c>
      <c r="AL208" s="8">
        <v>9.3</v>
      </c>
      <c r="AM208" s="8">
        <v>2.2</v>
      </c>
      <c r="AN208" s="9">
        <v>16.3</v>
      </c>
      <c r="AO208" s="8">
        <v>16.7</v>
      </c>
      <c r="AP208" s="9">
        <v>5.09</v>
      </c>
      <c r="AQ208" s="1">
        <v>4.46</v>
      </c>
      <c r="AR208" s="8">
        <v>54.6</v>
      </c>
      <c r="AS208" s="8">
        <v>166.7</v>
      </c>
      <c r="AT208" s="9">
        <v>5.51</v>
      </c>
      <c r="AU208" s="9">
        <v>1.19</v>
      </c>
      <c r="AV208" s="9">
        <v>2.27</v>
      </c>
      <c r="AW208" s="9">
        <v>1.23</v>
      </c>
      <c r="AX208" s="9">
        <v>3.96</v>
      </c>
      <c r="AY208" s="8">
        <v>144.9</v>
      </c>
      <c r="AZ208" s="8">
        <v>25.5</v>
      </c>
      <c r="BA208" s="9">
        <v>1.96</v>
      </c>
      <c r="BB208" s="9">
        <v>3.05</v>
      </c>
      <c r="BC208" s="8">
        <v>204.9</v>
      </c>
      <c r="BD208" s="10">
        <v>3249</v>
      </c>
      <c r="BE208" s="10">
        <v>0</v>
      </c>
    </row>
    <row r="209" ht="15.6" spans="1:57">
      <c r="A209" s="14">
        <v>208</v>
      </c>
      <c r="B209" s="2" t="s">
        <v>257</v>
      </c>
      <c r="C209" s="15">
        <v>0</v>
      </c>
      <c r="D209" s="2">
        <v>2</v>
      </c>
      <c r="E209" s="2">
        <v>43</v>
      </c>
      <c r="F209" s="2">
        <v>0</v>
      </c>
      <c r="G209" s="2">
        <v>0</v>
      </c>
      <c r="H209" s="2">
        <v>160</v>
      </c>
      <c r="I209" s="2">
        <v>66</v>
      </c>
      <c r="J209" s="19">
        <f t="shared" si="19"/>
        <v>25.78125</v>
      </c>
      <c r="K209" s="2">
        <v>0.485</v>
      </c>
      <c r="L209" s="2">
        <v>0.373</v>
      </c>
      <c r="M209" s="2">
        <v>0.113</v>
      </c>
      <c r="N209" s="2">
        <v>179</v>
      </c>
      <c r="O209" s="20">
        <f t="shared" si="15"/>
        <v>0.146930294906166</v>
      </c>
      <c r="P209" s="20">
        <f t="shared" si="16"/>
        <v>1.30026809651475</v>
      </c>
      <c r="Q209" s="20">
        <f t="shared" si="17"/>
        <v>0.0144678787878788</v>
      </c>
      <c r="R209" s="20">
        <f t="shared" si="18"/>
        <v>2.42424242424242</v>
      </c>
      <c r="S209" s="23">
        <v>1</v>
      </c>
      <c r="T209" s="2">
        <v>2</v>
      </c>
      <c r="U209" s="2">
        <v>1</v>
      </c>
      <c r="V209" s="2">
        <v>0</v>
      </c>
      <c r="W209" s="2">
        <v>0</v>
      </c>
      <c r="X209" s="2">
        <v>3</v>
      </c>
      <c r="Y209" s="2">
        <v>1</v>
      </c>
      <c r="Z209" s="14">
        <v>0</v>
      </c>
      <c r="AA209" s="6">
        <v>1.026</v>
      </c>
      <c r="AB209" s="1">
        <v>61.6</v>
      </c>
      <c r="AC209" s="1">
        <v>106</v>
      </c>
      <c r="AD209" s="1">
        <v>2.04</v>
      </c>
      <c r="AE209" s="7">
        <v>0.328</v>
      </c>
      <c r="AF209" s="8">
        <v>89.4</v>
      </c>
      <c r="AG209" s="1">
        <v>323</v>
      </c>
      <c r="AH209" s="8">
        <v>11.2</v>
      </c>
      <c r="AI209" s="8">
        <v>37.7</v>
      </c>
      <c r="AJ209" s="9">
        <v>2.54</v>
      </c>
      <c r="AK209" s="8">
        <v>39.1</v>
      </c>
      <c r="AL209" s="8">
        <v>20.4</v>
      </c>
      <c r="AM209" s="8">
        <v>6.1</v>
      </c>
      <c r="AN209" s="9">
        <v>10.5</v>
      </c>
      <c r="AO209" s="8">
        <v>8.8</v>
      </c>
      <c r="AP209" s="9">
        <v>4.91</v>
      </c>
      <c r="AQ209" s="1">
        <v>4.32</v>
      </c>
      <c r="AR209" s="8">
        <v>56</v>
      </c>
      <c r="AS209" s="8">
        <v>262.8</v>
      </c>
      <c r="AT209" s="9">
        <v>3.87</v>
      </c>
      <c r="AU209" s="9">
        <v>0.59</v>
      </c>
      <c r="AV209" s="9">
        <v>2.1</v>
      </c>
      <c r="AW209" s="9">
        <v>1.21</v>
      </c>
      <c r="AX209" s="9">
        <v>3.4</v>
      </c>
      <c r="AY209" s="8">
        <v>143.8</v>
      </c>
      <c r="AZ209" s="8">
        <v>26.5</v>
      </c>
      <c r="BA209" s="9">
        <v>1.09</v>
      </c>
      <c r="BB209" s="9">
        <v>2.41</v>
      </c>
      <c r="BC209" s="8">
        <v>154</v>
      </c>
      <c r="BD209" s="10">
        <v>3244</v>
      </c>
      <c r="BE209" s="31">
        <v>0</v>
      </c>
    </row>
    <row r="210" ht="15.6" spans="1:57">
      <c r="A210" s="14">
        <v>209</v>
      </c>
      <c r="B210" s="2" t="s">
        <v>258</v>
      </c>
      <c r="C210" s="35">
        <v>0</v>
      </c>
      <c r="D210" s="2">
        <v>2</v>
      </c>
      <c r="E210" s="2">
        <v>52</v>
      </c>
      <c r="F210" s="2">
        <v>1</v>
      </c>
      <c r="G210" s="2">
        <v>0</v>
      </c>
      <c r="H210" s="2">
        <v>155</v>
      </c>
      <c r="I210" s="2">
        <v>48</v>
      </c>
      <c r="J210" s="19">
        <f t="shared" si="19"/>
        <v>19.9791883454735</v>
      </c>
      <c r="K210" s="2">
        <v>0.614</v>
      </c>
      <c r="L210" s="2">
        <v>0.307</v>
      </c>
      <c r="M210" s="2">
        <v>0.052</v>
      </c>
      <c r="N210" s="2">
        <v>231</v>
      </c>
      <c r="O210" s="20">
        <f t="shared" si="15"/>
        <v>0.104</v>
      </c>
      <c r="P210" s="20">
        <f t="shared" si="16"/>
        <v>2</v>
      </c>
      <c r="Q210" s="20">
        <f t="shared" si="17"/>
        <v>0.0153659895833333</v>
      </c>
      <c r="R210" s="20">
        <f t="shared" si="18"/>
        <v>3.22916666666667</v>
      </c>
      <c r="S210" s="23">
        <v>1</v>
      </c>
      <c r="T210" s="2">
        <v>1</v>
      </c>
      <c r="U210" s="2">
        <v>1</v>
      </c>
      <c r="V210" s="2">
        <v>0</v>
      </c>
      <c r="W210" s="2">
        <v>0</v>
      </c>
      <c r="X210" s="2">
        <v>2</v>
      </c>
      <c r="Y210" s="2">
        <v>1</v>
      </c>
      <c r="Z210" s="1">
        <v>0</v>
      </c>
      <c r="AA210" s="6">
        <v>1.024</v>
      </c>
      <c r="AB210" s="1">
        <v>4.3</v>
      </c>
      <c r="AC210" s="1">
        <v>124</v>
      </c>
      <c r="AD210" s="1">
        <v>4.01</v>
      </c>
      <c r="AE210" s="7">
        <v>0.365</v>
      </c>
      <c r="AF210" s="8">
        <v>90.6</v>
      </c>
      <c r="AG210" s="1">
        <v>340</v>
      </c>
      <c r="AH210" s="8">
        <v>10.5</v>
      </c>
      <c r="AI210" s="8">
        <v>35.7</v>
      </c>
      <c r="AJ210" s="9">
        <v>2.76</v>
      </c>
      <c r="AK210" s="8">
        <v>44.5</v>
      </c>
      <c r="AL210" s="8">
        <v>29.9</v>
      </c>
      <c r="AM210" s="8">
        <v>8.9</v>
      </c>
      <c r="AN210" s="9">
        <v>15.3</v>
      </c>
      <c r="AO210" s="8">
        <v>9.4</v>
      </c>
      <c r="AP210" s="9">
        <v>4.49</v>
      </c>
      <c r="AQ210" s="1">
        <v>3.83</v>
      </c>
      <c r="AR210" s="8">
        <v>58.7</v>
      </c>
      <c r="AS210" s="8">
        <v>136.5</v>
      </c>
      <c r="AT210" s="9">
        <v>3.95</v>
      </c>
      <c r="AU210" s="9">
        <v>0.68</v>
      </c>
      <c r="AV210" s="9">
        <v>2.25</v>
      </c>
      <c r="AW210" s="9">
        <v>1.27</v>
      </c>
      <c r="AX210" s="9">
        <v>3.43</v>
      </c>
      <c r="AY210" s="8">
        <v>145.2</v>
      </c>
      <c r="AZ210" s="8">
        <v>25.6</v>
      </c>
      <c r="BA210" s="9">
        <v>1.84</v>
      </c>
      <c r="BB210" s="9">
        <v>1.79</v>
      </c>
      <c r="BC210" s="8">
        <v>168.3</v>
      </c>
      <c r="BD210" s="10">
        <v>3272</v>
      </c>
      <c r="BE210" s="31">
        <v>0</v>
      </c>
    </row>
    <row r="211" ht="15.6" spans="1:57">
      <c r="A211" s="14">
        <v>210</v>
      </c>
      <c r="B211" s="2" t="s">
        <v>259</v>
      </c>
      <c r="C211" s="35">
        <v>1</v>
      </c>
      <c r="D211" s="2">
        <v>2</v>
      </c>
      <c r="E211" s="2">
        <v>84</v>
      </c>
      <c r="F211" s="2">
        <v>0</v>
      </c>
      <c r="G211" s="2">
        <v>0</v>
      </c>
      <c r="H211" s="2">
        <v>157</v>
      </c>
      <c r="I211" s="2">
        <v>60</v>
      </c>
      <c r="J211" s="19">
        <f t="shared" si="19"/>
        <v>24.3417582863402</v>
      </c>
      <c r="K211" s="2">
        <v>0.617</v>
      </c>
      <c r="L211" s="2">
        <v>0.302</v>
      </c>
      <c r="M211" s="2">
        <v>0.065</v>
      </c>
      <c r="N211" s="2">
        <v>316</v>
      </c>
      <c r="O211" s="20">
        <f t="shared" si="15"/>
        <v>0.132798013245033</v>
      </c>
      <c r="P211" s="20">
        <f t="shared" si="16"/>
        <v>2.04304635761589</v>
      </c>
      <c r="Q211" s="20">
        <f t="shared" si="17"/>
        <v>0.0124066633333333</v>
      </c>
      <c r="R211" s="20">
        <f t="shared" si="18"/>
        <v>2.61666666666667</v>
      </c>
      <c r="S211" s="23">
        <v>1</v>
      </c>
      <c r="T211" s="2">
        <v>1</v>
      </c>
      <c r="U211" s="2">
        <v>2</v>
      </c>
      <c r="V211" s="2">
        <v>0</v>
      </c>
      <c r="W211" s="2">
        <v>0</v>
      </c>
      <c r="X211" s="2">
        <v>2</v>
      </c>
      <c r="Y211" s="2">
        <v>2</v>
      </c>
      <c r="Z211" s="1">
        <v>0</v>
      </c>
      <c r="AA211" s="6">
        <v>1.008</v>
      </c>
      <c r="AB211" s="1">
        <v>6.7</v>
      </c>
      <c r="AC211" s="1">
        <v>132</v>
      </c>
      <c r="AD211" s="1">
        <v>7.58</v>
      </c>
      <c r="AE211" s="7">
        <v>0.375</v>
      </c>
      <c r="AF211" s="8">
        <v>89.1</v>
      </c>
      <c r="AG211" s="1">
        <v>352</v>
      </c>
      <c r="AH211" s="8">
        <v>9.7</v>
      </c>
      <c r="AI211" s="8">
        <v>33.3</v>
      </c>
      <c r="AJ211" s="9">
        <v>6.31</v>
      </c>
      <c r="AK211" s="8">
        <v>40.9</v>
      </c>
      <c r="AL211" s="8">
        <v>16</v>
      </c>
      <c r="AM211" s="8">
        <v>3.7</v>
      </c>
      <c r="AN211" s="9">
        <v>17</v>
      </c>
      <c r="AO211" s="8">
        <v>46</v>
      </c>
      <c r="AP211" s="9">
        <v>10.73</v>
      </c>
      <c r="AQ211" s="1">
        <v>3.49</v>
      </c>
      <c r="AR211" s="8">
        <v>47.5</v>
      </c>
      <c r="AS211" s="8">
        <v>195.7</v>
      </c>
      <c r="AT211" s="9">
        <v>7.64</v>
      </c>
      <c r="AU211" s="9">
        <v>2.16</v>
      </c>
      <c r="AV211" s="9">
        <v>2.2</v>
      </c>
      <c r="AW211" s="9">
        <v>1.12</v>
      </c>
      <c r="AX211" s="9">
        <v>3.89</v>
      </c>
      <c r="AY211" s="8">
        <v>139.4</v>
      </c>
      <c r="AZ211" s="8">
        <v>25.4</v>
      </c>
      <c r="BA211" s="9">
        <v>1</v>
      </c>
      <c r="BB211" s="9">
        <v>5.65</v>
      </c>
      <c r="BC211" s="8">
        <v>261</v>
      </c>
      <c r="BD211" s="31">
        <v>1025</v>
      </c>
      <c r="BE211" s="31">
        <v>1</v>
      </c>
    </row>
    <row r="212" ht="15.6" spans="1:57">
      <c r="A212" s="14">
        <v>211</v>
      </c>
      <c r="B212" s="2" t="s">
        <v>260</v>
      </c>
      <c r="C212" s="35">
        <v>1</v>
      </c>
      <c r="D212" s="2">
        <v>2</v>
      </c>
      <c r="E212" s="2">
        <v>40</v>
      </c>
      <c r="F212" s="2">
        <v>0</v>
      </c>
      <c r="G212" s="2">
        <v>0</v>
      </c>
      <c r="H212" s="2">
        <v>160</v>
      </c>
      <c r="I212" s="2">
        <v>59</v>
      </c>
      <c r="J212" s="19">
        <f t="shared" si="19"/>
        <v>23.046875</v>
      </c>
      <c r="K212" s="2">
        <v>0.553</v>
      </c>
      <c r="L212" s="2">
        <v>0.324</v>
      </c>
      <c r="M212" s="2">
        <v>0.077</v>
      </c>
      <c r="N212" s="2">
        <v>189</v>
      </c>
      <c r="O212" s="20">
        <f t="shared" si="15"/>
        <v>0.131422839506173</v>
      </c>
      <c r="P212" s="20">
        <f t="shared" si="16"/>
        <v>1.70679012345679</v>
      </c>
      <c r="Q212" s="20">
        <f t="shared" si="17"/>
        <v>0.0140583050847458</v>
      </c>
      <c r="R212" s="20">
        <f t="shared" si="18"/>
        <v>2.71186440677966</v>
      </c>
      <c r="S212" s="23">
        <v>1</v>
      </c>
      <c r="T212" s="2">
        <v>1</v>
      </c>
      <c r="U212" s="2">
        <v>2</v>
      </c>
      <c r="V212" s="2">
        <v>1</v>
      </c>
      <c r="W212" s="2">
        <v>1</v>
      </c>
      <c r="X212" s="2">
        <v>2</v>
      </c>
      <c r="Y212" s="2">
        <v>4</v>
      </c>
      <c r="Z212" s="14">
        <v>0</v>
      </c>
      <c r="AA212" s="6">
        <v>1.005</v>
      </c>
      <c r="AB212" s="1">
        <v>2.5</v>
      </c>
      <c r="AC212" s="1">
        <v>113</v>
      </c>
      <c r="AD212" s="1">
        <v>2.99</v>
      </c>
      <c r="AE212" s="7">
        <v>0.336</v>
      </c>
      <c r="AF212" s="8">
        <v>91.6</v>
      </c>
      <c r="AG212" s="1">
        <v>336</v>
      </c>
      <c r="AH212" s="8">
        <v>11</v>
      </c>
      <c r="AI212" s="8">
        <v>36.6</v>
      </c>
      <c r="AJ212" s="9">
        <v>4.16</v>
      </c>
      <c r="AK212" s="8">
        <v>37.5</v>
      </c>
      <c r="AL212" s="8">
        <v>8.2</v>
      </c>
      <c r="AM212" s="8">
        <v>2.5</v>
      </c>
      <c r="AN212" s="9">
        <v>18.3</v>
      </c>
      <c r="AO212" s="8">
        <v>9</v>
      </c>
      <c r="AP212" s="9">
        <v>4.01</v>
      </c>
      <c r="AQ212" s="1">
        <v>3.21</v>
      </c>
      <c r="AR212" s="8">
        <v>46.9</v>
      </c>
      <c r="AS212" s="8">
        <v>262.2</v>
      </c>
      <c r="AT212" s="9">
        <v>5.35</v>
      </c>
      <c r="AU212" s="9">
        <v>0.79</v>
      </c>
      <c r="AV212" s="9">
        <v>2.28</v>
      </c>
      <c r="AW212" s="9">
        <v>1.18</v>
      </c>
      <c r="AX212" s="9">
        <v>3.6</v>
      </c>
      <c r="AY212" s="8">
        <v>141.5</v>
      </c>
      <c r="AZ212" s="8">
        <v>23.8</v>
      </c>
      <c r="BA212" s="9">
        <v>1.25</v>
      </c>
      <c r="BB212" s="9">
        <v>3.32</v>
      </c>
      <c r="BC212" s="8">
        <v>125.1</v>
      </c>
      <c r="BD212" s="31">
        <v>1325</v>
      </c>
      <c r="BE212" s="31">
        <v>1</v>
      </c>
    </row>
    <row r="213" ht="15.6" spans="1:57">
      <c r="A213" s="14">
        <v>212</v>
      </c>
      <c r="B213" s="2" t="s">
        <v>261</v>
      </c>
      <c r="C213" s="35">
        <v>0</v>
      </c>
      <c r="D213" s="2">
        <v>1</v>
      </c>
      <c r="E213" s="2">
        <v>47</v>
      </c>
      <c r="F213" s="2">
        <v>0</v>
      </c>
      <c r="G213" s="2">
        <v>0</v>
      </c>
      <c r="H213" s="2">
        <v>184</v>
      </c>
      <c r="I213" s="2">
        <v>96</v>
      </c>
      <c r="J213" s="19">
        <f t="shared" si="19"/>
        <v>28.3553875236295</v>
      </c>
      <c r="K213" s="2">
        <v>0.623</v>
      </c>
      <c r="L213" s="2">
        <v>0.291</v>
      </c>
      <c r="M213" s="2">
        <v>0.059</v>
      </c>
      <c r="N213" s="2">
        <v>228</v>
      </c>
      <c r="O213" s="20">
        <f t="shared" si="15"/>
        <v>0.126312714776632</v>
      </c>
      <c r="P213" s="20">
        <f t="shared" si="16"/>
        <v>2.14089347079038</v>
      </c>
      <c r="Q213" s="20">
        <f t="shared" si="17"/>
        <v>0.0102626</v>
      </c>
      <c r="R213" s="20">
        <f t="shared" si="18"/>
        <v>1.91666666666667</v>
      </c>
      <c r="S213" s="23">
        <v>3</v>
      </c>
      <c r="T213" s="2">
        <v>1</v>
      </c>
      <c r="U213" s="2">
        <v>2</v>
      </c>
      <c r="V213" s="2">
        <v>0</v>
      </c>
      <c r="W213" s="2">
        <v>0</v>
      </c>
      <c r="X213" s="2">
        <v>2</v>
      </c>
      <c r="Y213" s="2">
        <v>2</v>
      </c>
      <c r="Z213" s="1">
        <v>0</v>
      </c>
      <c r="AA213" s="6">
        <v>1.015</v>
      </c>
      <c r="AB213" s="1">
        <v>5.2</v>
      </c>
      <c r="AC213" s="1">
        <v>168</v>
      </c>
      <c r="AD213" s="1">
        <v>6.81</v>
      </c>
      <c r="AE213" s="7">
        <v>0.502</v>
      </c>
      <c r="AF213" s="8">
        <v>94</v>
      </c>
      <c r="AG213" s="1">
        <v>335</v>
      </c>
      <c r="AH213" s="8">
        <v>12.7</v>
      </c>
      <c r="AI213" s="8">
        <v>35.2</v>
      </c>
      <c r="AJ213" s="9">
        <v>3.8</v>
      </c>
      <c r="AK213" s="8">
        <v>39.3</v>
      </c>
      <c r="AL213" s="8">
        <v>5.3</v>
      </c>
      <c r="AM213" s="8">
        <v>2.1</v>
      </c>
      <c r="AN213" s="9">
        <v>24</v>
      </c>
      <c r="AO213" s="8">
        <v>73.3</v>
      </c>
      <c r="AP213" s="9">
        <v>5.39</v>
      </c>
      <c r="AQ213" s="1">
        <v>3.86</v>
      </c>
      <c r="AR213" s="8">
        <v>77.4</v>
      </c>
      <c r="AS213" s="8">
        <v>254.3</v>
      </c>
      <c r="AT213" s="9">
        <v>3.58</v>
      </c>
      <c r="AU213" s="9">
        <v>1.62</v>
      </c>
      <c r="AV213" s="9">
        <v>2.35</v>
      </c>
      <c r="AW213" s="9">
        <v>1.19</v>
      </c>
      <c r="AX213" s="9">
        <v>4.18</v>
      </c>
      <c r="AY213" s="8">
        <v>144.8</v>
      </c>
      <c r="AZ213" s="8">
        <v>28.5</v>
      </c>
      <c r="BA213" s="9">
        <v>0.73</v>
      </c>
      <c r="BB213" s="9">
        <v>2.14</v>
      </c>
      <c r="BC213" s="8">
        <v>127.7</v>
      </c>
      <c r="BD213" s="31">
        <v>3133</v>
      </c>
      <c r="BE213" s="31">
        <v>0</v>
      </c>
    </row>
    <row r="214" ht="15.6" spans="1:57">
      <c r="A214" s="14">
        <v>213</v>
      </c>
      <c r="B214" s="2" t="s">
        <v>262</v>
      </c>
      <c r="C214" s="35">
        <v>0</v>
      </c>
      <c r="D214" s="2">
        <v>1</v>
      </c>
      <c r="E214" s="2">
        <v>61</v>
      </c>
      <c r="F214" s="2">
        <v>1</v>
      </c>
      <c r="G214" s="2">
        <v>0</v>
      </c>
      <c r="H214" s="2">
        <v>180</v>
      </c>
      <c r="I214" s="2">
        <v>91</v>
      </c>
      <c r="J214" s="19">
        <f t="shared" si="19"/>
        <v>28.0864197530864</v>
      </c>
      <c r="K214" s="2">
        <v>0.564</v>
      </c>
      <c r="L214" s="2">
        <v>0.369</v>
      </c>
      <c r="M214" s="2">
        <v>0.054</v>
      </c>
      <c r="N214" s="2">
        <v>164</v>
      </c>
      <c r="O214" s="20">
        <f t="shared" si="15"/>
        <v>0.0825365853658536</v>
      </c>
      <c r="P214" s="20">
        <f t="shared" si="16"/>
        <v>1.52845528455285</v>
      </c>
      <c r="Q214" s="20">
        <f t="shared" si="17"/>
        <v>0.013138021978022</v>
      </c>
      <c r="R214" s="20">
        <f t="shared" si="18"/>
        <v>1.97802197802198</v>
      </c>
      <c r="S214" s="23">
        <v>1</v>
      </c>
      <c r="T214" s="2">
        <v>1</v>
      </c>
      <c r="U214" s="2">
        <v>2</v>
      </c>
      <c r="V214" s="2">
        <v>0</v>
      </c>
      <c r="W214" s="2">
        <v>0</v>
      </c>
      <c r="X214" s="2">
        <v>3</v>
      </c>
      <c r="Y214" s="2">
        <v>2</v>
      </c>
      <c r="Z214" s="14">
        <v>0</v>
      </c>
      <c r="AA214" s="6">
        <v>1.01</v>
      </c>
      <c r="AB214" s="1">
        <v>8.9</v>
      </c>
      <c r="AC214" s="1">
        <v>140</v>
      </c>
      <c r="AD214" s="1">
        <v>6.16</v>
      </c>
      <c r="AE214" s="7">
        <v>0.404</v>
      </c>
      <c r="AF214" s="8">
        <v>92.4</v>
      </c>
      <c r="AG214" s="1">
        <v>347</v>
      </c>
      <c r="AH214" s="8">
        <v>12.3</v>
      </c>
      <c r="AI214" s="8">
        <v>38.2</v>
      </c>
      <c r="AJ214" s="9">
        <v>4.2314</v>
      </c>
      <c r="AK214" s="8">
        <v>46.1</v>
      </c>
      <c r="AL214" s="8">
        <v>16.5</v>
      </c>
      <c r="AM214" s="8">
        <v>4.2</v>
      </c>
      <c r="AN214" s="9">
        <v>17</v>
      </c>
      <c r="AO214" s="8">
        <v>26.2</v>
      </c>
      <c r="AP214" s="9">
        <v>5.61</v>
      </c>
      <c r="AQ214" s="1">
        <v>3.25</v>
      </c>
      <c r="AR214" s="8">
        <v>73.3</v>
      </c>
      <c r="AS214" s="8">
        <v>430.8</v>
      </c>
      <c r="AT214" s="9">
        <v>4.44</v>
      </c>
      <c r="AU214" s="9">
        <v>2.17</v>
      </c>
      <c r="AV214" s="9">
        <v>2.23</v>
      </c>
      <c r="AW214" s="9">
        <v>0.87</v>
      </c>
      <c r="AX214" s="9">
        <v>2.99</v>
      </c>
      <c r="AY214" s="8">
        <v>146.1</v>
      </c>
      <c r="AZ214" s="8">
        <v>29</v>
      </c>
      <c r="BA214" s="9">
        <v>0.95</v>
      </c>
      <c r="BB214" s="9">
        <v>2.69</v>
      </c>
      <c r="BC214" s="8">
        <v>194.2</v>
      </c>
      <c r="BD214" s="10">
        <v>1986</v>
      </c>
      <c r="BE214" s="31">
        <v>1</v>
      </c>
    </row>
    <row r="215" ht="15.6" spans="1:57">
      <c r="A215" s="14">
        <v>214</v>
      </c>
      <c r="B215" s="2" t="s">
        <v>263</v>
      </c>
      <c r="C215" s="35">
        <v>0</v>
      </c>
      <c r="D215" s="2">
        <v>1</v>
      </c>
      <c r="E215" s="2">
        <v>50</v>
      </c>
      <c r="F215" s="2">
        <v>1</v>
      </c>
      <c r="G215" s="2">
        <v>0</v>
      </c>
      <c r="H215" s="2">
        <v>174</v>
      </c>
      <c r="I215" s="2">
        <v>60</v>
      </c>
      <c r="J215" s="19">
        <f t="shared" si="19"/>
        <v>19.8176773682124</v>
      </c>
      <c r="K215" s="2">
        <v>0.598</v>
      </c>
      <c r="L215" s="2">
        <v>0.324</v>
      </c>
      <c r="M215" s="2">
        <v>0.061</v>
      </c>
      <c r="N215" s="2">
        <v>179</v>
      </c>
      <c r="O215" s="20">
        <f t="shared" ref="O215:O225" si="20">K215*M215/L215</f>
        <v>0.112586419753086</v>
      </c>
      <c r="P215" s="20">
        <f t="shared" ref="P215:P225" si="21">K215/L215</f>
        <v>1.84567901234568</v>
      </c>
      <c r="Q215" s="20">
        <f t="shared" ref="Q215:Q225" si="22">L215/J215</f>
        <v>0.01634904</v>
      </c>
      <c r="R215" s="20">
        <f t="shared" ref="R215:R225" si="23">H215/I215</f>
        <v>2.9</v>
      </c>
      <c r="S215" s="23">
        <v>1</v>
      </c>
      <c r="T215" s="2">
        <v>1</v>
      </c>
      <c r="U215" s="2">
        <v>2</v>
      </c>
      <c r="V215" s="2">
        <v>0</v>
      </c>
      <c r="W215" s="2">
        <v>0</v>
      </c>
      <c r="X215" s="2">
        <v>3</v>
      </c>
      <c r="Y215" s="2">
        <v>2</v>
      </c>
      <c r="Z215" s="1">
        <v>0</v>
      </c>
      <c r="AA215" s="6">
        <v>1.006</v>
      </c>
      <c r="AB215" s="1">
        <v>3.3</v>
      </c>
      <c r="AC215" s="1">
        <v>91</v>
      </c>
      <c r="AD215" s="1">
        <v>4.76</v>
      </c>
      <c r="AE215" s="7">
        <v>0.273</v>
      </c>
      <c r="AF215" s="8">
        <v>88.9</v>
      </c>
      <c r="AG215" s="1">
        <v>333</v>
      </c>
      <c r="AH215" s="8">
        <v>9.5</v>
      </c>
      <c r="AI215" s="8">
        <v>34.2</v>
      </c>
      <c r="AJ215" s="9">
        <v>4.57</v>
      </c>
      <c r="AK215" s="8">
        <v>33.1</v>
      </c>
      <c r="AL215" s="8">
        <v>4.1</v>
      </c>
      <c r="AM215" s="8">
        <v>1.4</v>
      </c>
      <c r="AN215" s="9">
        <v>14.7</v>
      </c>
      <c r="AO215" s="8">
        <v>18.5</v>
      </c>
      <c r="AP215" s="9">
        <v>4.68</v>
      </c>
      <c r="AQ215" s="1">
        <v>13.08</v>
      </c>
      <c r="AR215" s="8">
        <v>487.4</v>
      </c>
      <c r="AS215" s="8">
        <v>369.1</v>
      </c>
      <c r="AT215" s="9">
        <v>5.37</v>
      </c>
      <c r="AU215" s="9">
        <v>1.77</v>
      </c>
      <c r="AV215" s="9">
        <v>1.93</v>
      </c>
      <c r="AW215" s="9">
        <v>1.67</v>
      </c>
      <c r="AX215" s="9">
        <v>3.09</v>
      </c>
      <c r="AY215" s="8">
        <v>141.7</v>
      </c>
      <c r="AZ215" s="8">
        <v>24.8</v>
      </c>
      <c r="BA215" s="9">
        <v>1.18</v>
      </c>
      <c r="BB215" s="9">
        <v>3.47</v>
      </c>
      <c r="BC215" s="8">
        <v>96.6</v>
      </c>
      <c r="BD215" s="31">
        <v>3132</v>
      </c>
      <c r="BE215" s="31">
        <v>0</v>
      </c>
    </row>
    <row r="216" ht="15.6" spans="1:57">
      <c r="A216" s="14">
        <v>215</v>
      </c>
      <c r="B216" s="2" t="s">
        <v>264</v>
      </c>
      <c r="C216" s="35">
        <v>0</v>
      </c>
      <c r="D216" s="2">
        <v>1</v>
      </c>
      <c r="E216" s="2">
        <v>35</v>
      </c>
      <c r="F216" s="2">
        <v>0</v>
      </c>
      <c r="G216" s="2">
        <v>0</v>
      </c>
      <c r="H216" s="2">
        <v>171</v>
      </c>
      <c r="I216" s="2">
        <v>55</v>
      </c>
      <c r="J216" s="19">
        <f t="shared" si="19"/>
        <v>18.8092062514962</v>
      </c>
      <c r="K216" s="6">
        <v>0.46</v>
      </c>
      <c r="L216" s="2">
        <v>0.447</v>
      </c>
      <c r="M216" s="2">
        <v>0.073</v>
      </c>
      <c r="N216" s="2">
        <v>197</v>
      </c>
      <c r="O216" s="20">
        <f t="shared" si="20"/>
        <v>0.0751230425055928</v>
      </c>
      <c r="P216" s="20">
        <f t="shared" si="21"/>
        <v>1.02908277404922</v>
      </c>
      <c r="Q216" s="20">
        <f t="shared" si="22"/>
        <v>0.0237649581818182</v>
      </c>
      <c r="R216" s="20">
        <f t="shared" si="23"/>
        <v>3.10909090909091</v>
      </c>
      <c r="S216" s="23">
        <v>1</v>
      </c>
      <c r="T216" s="2">
        <v>2</v>
      </c>
      <c r="U216" s="2">
        <v>2</v>
      </c>
      <c r="V216" s="2">
        <v>0</v>
      </c>
      <c r="W216" s="2">
        <v>0</v>
      </c>
      <c r="X216" s="2">
        <v>2</v>
      </c>
      <c r="Y216" s="2">
        <v>2</v>
      </c>
      <c r="Z216" s="14">
        <v>0</v>
      </c>
      <c r="AA216" s="6">
        <v>1.014</v>
      </c>
      <c r="AB216" s="1">
        <v>2.3</v>
      </c>
      <c r="AC216" s="1">
        <v>148</v>
      </c>
      <c r="AD216" s="1">
        <v>5.62</v>
      </c>
      <c r="AE216" s="7">
        <v>0.454</v>
      </c>
      <c r="AF216" s="8">
        <v>82.4</v>
      </c>
      <c r="AG216" s="1">
        <v>326</v>
      </c>
      <c r="AH216" s="8">
        <v>10.2</v>
      </c>
      <c r="AI216" s="8">
        <v>42.8</v>
      </c>
      <c r="AJ216" s="9">
        <v>2.9</v>
      </c>
      <c r="AK216" s="8">
        <v>40.1</v>
      </c>
      <c r="AL216" s="8">
        <v>7.3</v>
      </c>
      <c r="AM216" s="8">
        <v>2.1</v>
      </c>
      <c r="AN216" s="9">
        <v>20.3</v>
      </c>
      <c r="AO216" s="8">
        <v>12</v>
      </c>
      <c r="AP216" s="9">
        <v>4.32</v>
      </c>
      <c r="AQ216" s="1">
        <v>2.89</v>
      </c>
      <c r="AR216" s="8">
        <v>44.9</v>
      </c>
      <c r="AS216" s="8">
        <v>366.4</v>
      </c>
      <c r="AT216" s="9">
        <v>4.94</v>
      </c>
      <c r="AU216" s="9">
        <v>1.2</v>
      </c>
      <c r="AV216" s="9">
        <v>2.22</v>
      </c>
      <c r="AW216" s="9">
        <v>1.41</v>
      </c>
      <c r="AX216" s="9">
        <v>4.1</v>
      </c>
      <c r="AY216" s="8">
        <v>143</v>
      </c>
      <c r="AZ216" s="8">
        <v>27.8</v>
      </c>
      <c r="BA216" s="9">
        <v>0.99</v>
      </c>
      <c r="BB216" s="9">
        <v>3.34</v>
      </c>
      <c r="BC216" s="8">
        <v>124</v>
      </c>
      <c r="BD216" s="10">
        <v>3113</v>
      </c>
      <c r="BE216" s="10">
        <v>0</v>
      </c>
    </row>
    <row r="217" ht="15.6" spans="1:57">
      <c r="A217" s="14">
        <v>216</v>
      </c>
      <c r="B217" s="2" t="s">
        <v>265</v>
      </c>
      <c r="C217" s="35">
        <v>1</v>
      </c>
      <c r="D217" s="2">
        <v>1</v>
      </c>
      <c r="E217" s="2">
        <v>46</v>
      </c>
      <c r="F217" s="2">
        <v>0</v>
      </c>
      <c r="G217" s="2">
        <v>0</v>
      </c>
      <c r="H217" s="2">
        <v>172</v>
      </c>
      <c r="I217" s="2">
        <v>68</v>
      </c>
      <c r="J217" s="19">
        <f t="shared" si="19"/>
        <v>22.9853975121687</v>
      </c>
      <c r="K217" s="2">
        <v>0.501</v>
      </c>
      <c r="L217" s="2">
        <v>0.344</v>
      </c>
      <c r="M217" s="2">
        <v>0.108</v>
      </c>
      <c r="N217" s="2">
        <v>92</v>
      </c>
      <c r="O217" s="20">
        <f t="shared" si="20"/>
        <v>0.157290697674419</v>
      </c>
      <c r="P217" s="20">
        <f t="shared" si="21"/>
        <v>1.45639534883721</v>
      </c>
      <c r="Q217" s="20">
        <f t="shared" si="22"/>
        <v>0.0149660235294118</v>
      </c>
      <c r="R217" s="20">
        <f t="shared" si="23"/>
        <v>2.52941176470588</v>
      </c>
      <c r="S217" s="23">
        <v>1</v>
      </c>
      <c r="T217" s="2">
        <v>1</v>
      </c>
      <c r="U217" s="2">
        <v>1</v>
      </c>
      <c r="V217" s="2">
        <v>3</v>
      </c>
      <c r="W217" s="2">
        <v>1</v>
      </c>
      <c r="X217" s="2">
        <v>2</v>
      </c>
      <c r="Y217" s="2">
        <v>4</v>
      </c>
      <c r="Z217" s="14">
        <v>0</v>
      </c>
      <c r="AA217" s="6">
        <v>1.007</v>
      </c>
      <c r="AB217" s="1">
        <v>10.8</v>
      </c>
      <c r="AC217" s="1">
        <v>101</v>
      </c>
      <c r="AD217" s="1">
        <v>3.43</v>
      </c>
      <c r="AE217" s="7">
        <v>0.307</v>
      </c>
      <c r="AF217" s="8">
        <v>81.2</v>
      </c>
      <c r="AG217" s="1">
        <v>329</v>
      </c>
      <c r="AH217" s="8">
        <v>9.4</v>
      </c>
      <c r="AI217" s="8">
        <v>42.1</v>
      </c>
      <c r="AJ217" s="9">
        <v>2.22</v>
      </c>
      <c r="AK217" s="8">
        <v>27.9</v>
      </c>
      <c r="AL217" s="8">
        <v>10.7</v>
      </c>
      <c r="AM217" s="8">
        <v>7.3</v>
      </c>
      <c r="AN217" s="9">
        <v>7.7</v>
      </c>
      <c r="AO217" s="8">
        <v>58.1</v>
      </c>
      <c r="AP217" s="9">
        <v>4.89</v>
      </c>
      <c r="AQ217" s="9">
        <v>3.2</v>
      </c>
      <c r="AR217" s="8">
        <v>75.3</v>
      </c>
      <c r="AS217" s="8">
        <v>405</v>
      </c>
      <c r="AT217" s="9">
        <v>2.11</v>
      </c>
      <c r="AU217" s="9">
        <v>0.65</v>
      </c>
      <c r="AV217" s="9">
        <v>2.61</v>
      </c>
      <c r="AW217" s="9">
        <v>1.11</v>
      </c>
      <c r="AX217" s="9">
        <v>3.47</v>
      </c>
      <c r="AY217" s="8">
        <v>144.6</v>
      </c>
      <c r="AZ217" s="8">
        <v>27.6</v>
      </c>
      <c r="BA217" s="9">
        <v>0.53</v>
      </c>
      <c r="BB217" s="9">
        <v>1.15</v>
      </c>
      <c r="BC217" s="8">
        <v>129</v>
      </c>
      <c r="BD217" s="31">
        <v>1103</v>
      </c>
      <c r="BE217" s="31">
        <v>1</v>
      </c>
    </row>
    <row r="218" ht="15.6" spans="1:57">
      <c r="A218" s="14">
        <v>217</v>
      </c>
      <c r="B218" s="2" t="s">
        <v>266</v>
      </c>
      <c r="C218" s="35">
        <v>0</v>
      </c>
      <c r="D218" s="2">
        <v>2</v>
      </c>
      <c r="E218" s="2">
        <v>41</v>
      </c>
      <c r="F218" s="2">
        <v>0</v>
      </c>
      <c r="G218" s="2">
        <v>0</v>
      </c>
      <c r="H218" s="2">
        <v>165</v>
      </c>
      <c r="I218" s="2">
        <v>53</v>
      </c>
      <c r="J218" s="19">
        <f t="shared" si="19"/>
        <v>19.4674012855831</v>
      </c>
      <c r="K218" s="2">
        <v>0.591</v>
      </c>
      <c r="L218" s="2">
        <v>0.337</v>
      </c>
      <c r="M218" s="2">
        <v>0.038</v>
      </c>
      <c r="N218" s="2">
        <v>151</v>
      </c>
      <c r="O218" s="20">
        <f t="shared" si="20"/>
        <v>0.0666409495548961</v>
      </c>
      <c r="P218" s="20">
        <f t="shared" si="21"/>
        <v>1.75370919881306</v>
      </c>
      <c r="Q218" s="20">
        <f t="shared" si="22"/>
        <v>0.0173109905660377</v>
      </c>
      <c r="R218" s="20">
        <f t="shared" si="23"/>
        <v>3.11320754716981</v>
      </c>
      <c r="S218" s="23">
        <v>1</v>
      </c>
      <c r="T218" s="2">
        <v>1</v>
      </c>
      <c r="U218" s="2">
        <v>1</v>
      </c>
      <c r="V218" s="2">
        <v>0</v>
      </c>
      <c r="W218" s="2">
        <v>0</v>
      </c>
      <c r="X218" s="2">
        <v>3</v>
      </c>
      <c r="Y218" s="2">
        <v>1</v>
      </c>
      <c r="Z218" s="1">
        <v>0</v>
      </c>
      <c r="AC218" s="1">
        <v>118</v>
      </c>
      <c r="AD218" s="1">
        <v>4.69</v>
      </c>
      <c r="AE218" s="7">
        <v>0.36</v>
      </c>
      <c r="AF218" s="8">
        <v>92.3</v>
      </c>
      <c r="AG218" s="1">
        <v>328</v>
      </c>
      <c r="AH218" s="8">
        <v>11.3</v>
      </c>
      <c r="AI218" s="8">
        <v>35.1</v>
      </c>
      <c r="AJ218" s="9">
        <v>3.59</v>
      </c>
      <c r="AK218" s="8">
        <v>45.5</v>
      </c>
      <c r="AL218" s="8">
        <v>8.5</v>
      </c>
      <c r="AM218" s="8">
        <v>2.7</v>
      </c>
      <c r="AO218" s="8">
        <v>11</v>
      </c>
      <c r="AP218" s="9">
        <v>6.54</v>
      </c>
      <c r="AQ218" s="1">
        <v>5.62</v>
      </c>
      <c r="AR218" s="8">
        <v>47.4</v>
      </c>
      <c r="AS218" s="8">
        <v>198.4</v>
      </c>
      <c r="AV218" s="9">
        <v>2.35</v>
      </c>
      <c r="AW218" s="9">
        <v>0.96</v>
      </c>
      <c r="AX218" s="9">
        <v>3.88</v>
      </c>
      <c r="AY218" s="8">
        <v>139.7</v>
      </c>
      <c r="AZ218" s="8">
        <v>26</v>
      </c>
      <c r="BD218" s="10">
        <v>3097</v>
      </c>
      <c r="BE218" s="10">
        <v>0</v>
      </c>
    </row>
    <row r="219" ht="15.6" spans="1:57">
      <c r="A219" s="14">
        <v>218</v>
      </c>
      <c r="B219" s="2" t="s">
        <v>267</v>
      </c>
      <c r="C219" s="35">
        <v>1</v>
      </c>
      <c r="D219" s="2">
        <v>1</v>
      </c>
      <c r="E219" s="2">
        <v>64</v>
      </c>
      <c r="F219" s="2">
        <v>1</v>
      </c>
      <c r="G219" s="2">
        <v>0</v>
      </c>
      <c r="H219" s="2">
        <v>175</v>
      </c>
      <c r="I219" s="2">
        <v>80</v>
      </c>
      <c r="J219" s="19">
        <f t="shared" si="19"/>
        <v>26.1224489795918</v>
      </c>
      <c r="K219" s="2">
        <v>0.649</v>
      </c>
      <c r="L219" s="2">
        <v>0.273</v>
      </c>
      <c r="M219" s="2">
        <v>0.063</v>
      </c>
      <c r="N219" s="2">
        <v>332</v>
      </c>
      <c r="O219" s="20">
        <f t="shared" si="20"/>
        <v>0.149769230769231</v>
      </c>
      <c r="P219" s="20">
        <f t="shared" si="21"/>
        <v>2.37728937728938</v>
      </c>
      <c r="Q219" s="20">
        <f t="shared" si="22"/>
        <v>0.01045078125</v>
      </c>
      <c r="R219" s="20">
        <f t="shared" si="23"/>
        <v>2.1875</v>
      </c>
      <c r="S219" s="23">
        <v>1</v>
      </c>
      <c r="T219" s="2">
        <v>1</v>
      </c>
      <c r="U219" s="2">
        <v>2</v>
      </c>
      <c r="V219" s="2">
        <v>0</v>
      </c>
      <c r="W219" s="2">
        <v>0</v>
      </c>
      <c r="X219" s="2">
        <v>3</v>
      </c>
      <c r="Y219" s="2">
        <v>2</v>
      </c>
      <c r="Z219" s="1">
        <v>0</v>
      </c>
      <c r="AA219" s="6">
        <v>1.011</v>
      </c>
      <c r="AB219" s="1">
        <v>8.9</v>
      </c>
      <c r="AC219" s="1">
        <v>135</v>
      </c>
      <c r="AD219" s="9">
        <v>9.9</v>
      </c>
      <c r="AE219" s="7">
        <v>0.398</v>
      </c>
      <c r="AF219" s="8">
        <v>89.2</v>
      </c>
      <c r="AG219" s="1">
        <v>339</v>
      </c>
      <c r="AH219" s="8">
        <v>10.5</v>
      </c>
      <c r="AI219" s="8">
        <v>35.2</v>
      </c>
      <c r="AJ219" s="9">
        <v>3.85</v>
      </c>
      <c r="AK219" s="8">
        <v>44.4</v>
      </c>
      <c r="AL219" s="8">
        <v>9</v>
      </c>
      <c r="AM219" s="8">
        <v>2.6</v>
      </c>
      <c r="AN219" s="9">
        <v>28.3</v>
      </c>
      <c r="AO219" s="8">
        <v>30.5</v>
      </c>
      <c r="AP219" s="9">
        <v>4.95</v>
      </c>
      <c r="AQ219" s="1">
        <v>6.68</v>
      </c>
      <c r="AR219" s="8">
        <v>86.7</v>
      </c>
      <c r="AS219" s="8">
        <v>258.1</v>
      </c>
      <c r="AT219" s="9">
        <v>4.63</v>
      </c>
      <c r="AU219" s="9">
        <v>1.79</v>
      </c>
      <c r="AV219" s="9">
        <v>2.28</v>
      </c>
      <c r="AW219" s="9">
        <v>1.4</v>
      </c>
      <c r="AX219" s="9">
        <v>4.48</v>
      </c>
      <c r="AY219" s="8">
        <v>141.7</v>
      </c>
      <c r="AZ219" s="8">
        <v>26.5</v>
      </c>
      <c r="BA219" s="9">
        <v>1.04</v>
      </c>
      <c r="BB219" s="9">
        <v>2.83</v>
      </c>
      <c r="BC219" s="8">
        <v>167.7</v>
      </c>
      <c r="BD219" s="10">
        <v>597</v>
      </c>
      <c r="BE219" s="31">
        <v>1</v>
      </c>
    </row>
    <row r="220" ht="15.6" spans="1:57">
      <c r="A220" s="14">
        <v>219</v>
      </c>
      <c r="B220" s="2" t="s">
        <v>268</v>
      </c>
      <c r="C220" s="35">
        <v>0</v>
      </c>
      <c r="D220" s="2">
        <v>2</v>
      </c>
      <c r="E220" s="2">
        <v>47</v>
      </c>
      <c r="F220" s="2">
        <v>0</v>
      </c>
      <c r="G220" s="2">
        <v>0</v>
      </c>
      <c r="H220" s="2">
        <v>156</v>
      </c>
      <c r="I220" s="2">
        <v>55</v>
      </c>
      <c r="J220" s="19">
        <f t="shared" si="19"/>
        <v>22.6002629848784</v>
      </c>
      <c r="K220" s="2">
        <v>0.476</v>
      </c>
      <c r="L220" s="2">
        <v>0.42</v>
      </c>
      <c r="M220" s="2">
        <v>0.073</v>
      </c>
      <c r="N220" s="2">
        <v>261</v>
      </c>
      <c r="O220" s="20">
        <f t="shared" si="20"/>
        <v>0.0827333333333333</v>
      </c>
      <c r="P220" s="20">
        <f t="shared" si="21"/>
        <v>1.13333333333333</v>
      </c>
      <c r="Q220" s="20">
        <f t="shared" si="22"/>
        <v>0.0185838545454545</v>
      </c>
      <c r="R220" s="20">
        <f t="shared" si="23"/>
        <v>2.83636363636364</v>
      </c>
      <c r="S220" s="23">
        <v>4</v>
      </c>
      <c r="T220" s="2">
        <v>1</v>
      </c>
      <c r="U220" s="2">
        <v>2</v>
      </c>
      <c r="V220" s="2">
        <v>0</v>
      </c>
      <c r="W220" s="2">
        <v>0</v>
      </c>
      <c r="X220" s="2">
        <v>2</v>
      </c>
      <c r="Y220" s="2">
        <v>2</v>
      </c>
      <c r="Z220" s="14">
        <v>0</v>
      </c>
      <c r="AA220" s="6">
        <v>1.025</v>
      </c>
      <c r="AB220" s="1">
        <v>5.5</v>
      </c>
      <c r="AC220" s="1">
        <v>130</v>
      </c>
      <c r="AD220" s="1">
        <v>5.4</v>
      </c>
      <c r="AE220" s="7">
        <v>0.401</v>
      </c>
      <c r="AF220" s="8">
        <v>93.7</v>
      </c>
      <c r="AG220" s="1">
        <v>324</v>
      </c>
      <c r="AH220" s="8">
        <v>10</v>
      </c>
      <c r="AI220" s="8">
        <v>32.7</v>
      </c>
      <c r="AJ220" s="9">
        <v>3.15</v>
      </c>
      <c r="AK220" s="8">
        <v>41.8</v>
      </c>
      <c r="AL220" s="8">
        <v>8.6</v>
      </c>
      <c r="AM220" s="8">
        <v>2.6</v>
      </c>
      <c r="AN220" s="9">
        <v>16.2</v>
      </c>
      <c r="AO220" s="8">
        <v>14.4</v>
      </c>
      <c r="AP220" s="9">
        <v>4.71</v>
      </c>
      <c r="AQ220" s="1">
        <v>4.77</v>
      </c>
      <c r="AR220" s="8">
        <v>65.5</v>
      </c>
      <c r="AS220" s="8">
        <v>236.9</v>
      </c>
      <c r="AT220" s="9">
        <v>5.01</v>
      </c>
      <c r="AU220" s="9">
        <v>0.95</v>
      </c>
      <c r="AV220" s="9">
        <v>2.33</v>
      </c>
      <c r="AW220" s="9">
        <v>1.25</v>
      </c>
      <c r="AX220" s="9">
        <v>4.25</v>
      </c>
      <c r="AY220" s="8">
        <v>140.1</v>
      </c>
      <c r="AZ220" s="8">
        <v>27.9</v>
      </c>
      <c r="BA220" s="9">
        <v>1.49</v>
      </c>
      <c r="BB220" s="9">
        <v>3.02</v>
      </c>
      <c r="BC220" s="8">
        <v>190.9</v>
      </c>
      <c r="BD220" s="10">
        <v>1272</v>
      </c>
      <c r="BE220" s="31">
        <v>1</v>
      </c>
    </row>
    <row r="221" ht="15.6" spans="1:57">
      <c r="A221" s="14">
        <v>220</v>
      </c>
      <c r="B221" s="2" t="s">
        <v>269</v>
      </c>
      <c r="C221" s="35">
        <v>1</v>
      </c>
      <c r="D221" s="2">
        <v>1</v>
      </c>
      <c r="E221" s="2">
        <v>44</v>
      </c>
      <c r="F221" s="2">
        <v>0</v>
      </c>
      <c r="G221" s="2">
        <v>0</v>
      </c>
      <c r="H221" s="2">
        <v>172</v>
      </c>
      <c r="I221" s="2">
        <v>56</v>
      </c>
      <c r="J221" s="19">
        <f t="shared" si="19"/>
        <v>18.9291508923743</v>
      </c>
      <c r="K221" s="2">
        <v>0.635</v>
      </c>
      <c r="L221" s="2">
        <v>0.295</v>
      </c>
      <c r="M221" s="2">
        <v>0.054</v>
      </c>
      <c r="N221" s="2">
        <v>356</v>
      </c>
      <c r="O221" s="20">
        <f t="shared" si="20"/>
        <v>0.116237288135593</v>
      </c>
      <c r="P221" s="20">
        <f t="shared" si="21"/>
        <v>2.15254237288136</v>
      </c>
      <c r="Q221" s="20">
        <f t="shared" si="22"/>
        <v>0.0155844285714286</v>
      </c>
      <c r="R221" s="20">
        <f t="shared" si="23"/>
        <v>3.07142857142857</v>
      </c>
      <c r="S221" s="23">
        <v>1</v>
      </c>
      <c r="T221" s="2">
        <v>1</v>
      </c>
      <c r="U221" s="2">
        <v>2</v>
      </c>
      <c r="V221" s="2">
        <v>2</v>
      </c>
      <c r="W221" s="2">
        <v>1</v>
      </c>
      <c r="X221" s="2">
        <v>1</v>
      </c>
      <c r="Y221" s="2">
        <v>4</v>
      </c>
      <c r="Z221" s="1">
        <v>0</v>
      </c>
      <c r="AA221" s="6">
        <v>1.023</v>
      </c>
      <c r="AB221" s="1">
        <v>5.8</v>
      </c>
      <c r="AC221" s="1">
        <v>152</v>
      </c>
      <c r="AD221" s="1">
        <v>5.9</v>
      </c>
      <c r="AE221" s="7">
        <v>0.443</v>
      </c>
      <c r="AF221" s="8">
        <v>94.3</v>
      </c>
      <c r="AG221" s="1">
        <v>343</v>
      </c>
      <c r="AH221" s="8">
        <v>9.5</v>
      </c>
      <c r="AI221" s="8">
        <v>37.1</v>
      </c>
      <c r="AJ221" s="9">
        <v>3.44</v>
      </c>
      <c r="AK221" s="8">
        <v>39</v>
      </c>
      <c r="AL221" s="8">
        <v>8.2</v>
      </c>
      <c r="AM221" s="8">
        <v>2.8</v>
      </c>
      <c r="AN221" s="9">
        <v>13</v>
      </c>
      <c r="AO221" s="8">
        <v>36.3</v>
      </c>
      <c r="AP221" s="9">
        <v>5.32</v>
      </c>
      <c r="AQ221" s="1">
        <v>4.52</v>
      </c>
      <c r="AR221" s="8">
        <v>51.7</v>
      </c>
      <c r="AS221" s="8">
        <v>320.4</v>
      </c>
      <c r="AT221" s="9">
        <v>5.16</v>
      </c>
      <c r="AU221" s="9">
        <v>0.6</v>
      </c>
      <c r="AV221" s="9">
        <v>2.27</v>
      </c>
      <c r="AW221" s="9">
        <v>1.62</v>
      </c>
      <c r="AX221" s="9">
        <v>4.52</v>
      </c>
      <c r="AY221" s="8">
        <v>140.5</v>
      </c>
      <c r="AZ221" s="8">
        <v>24</v>
      </c>
      <c r="BA221" s="9">
        <v>1.53</v>
      </c>
      <c r="BB221" s="9">
        <v>3.3</v>
      </c>
      <c r="BC221" s="8">
        <v>117.4</v>
      </c>
      <c r="BD221" s="31">
        <v>1082</v>
      </c>
      <c r="BE221" s="31">
        <v>1</v>
      </c>
    </row>
    <row r="222" ht="15.6" spans="1:57">
      <c r="A222" s="14">
        <v>221</v>
      </c>
      <c r="B222" s="2" t="s">
        <v>270</v>
      </c>
      <c r="C222" s="35">
        <v>1</v>
      </c>
      <c r="D222" s="2">
        <v>2</v>
      </c>
      <c r="E222" s="2">
        <v>28</v>
      </c>
      <c r="F222" s="2">
        <v>0</v>
      </c>
      <c r="G222" s="2">
        <v>0</v>
      </c>
      <c r="H222" s="2">
        <v>158</v>
      </c>
      <c r="I222" s="2">
        <v>45</v>
      </c>
      <c r="J222" s="19">
        <f t="shared" si="19"/>
        <v>18.0259573786252</v>
      </c>
      <c r="K222" s="2">
        <v>0.501</v>
      </c>
      <c r="L222" s="2">
        <v>0.422</v>
      </c>
      <c r="M222" s="2">
        <v>0.06</v>
      </c>
      <c r="N222" s="2">
        <v>233</v>
      </c>
      <c r="O222" s="20">
        <f t="shared" si="20"/>
        <v>0.0712322274881517</v>
      </c>
      <c r="P222" s="20">
        <f t="shared" si="21"/>
        <v>1.18720379146919</v>
      </c>
      <c r="Q222" s="20">
        <f t="shared" si="22"/>
        <v>0.0234106844444444</v>
      </c>
      <c r="R222" s="20">
        <f t="shared" si="23"/>
        <v>3.51111111111111</v>
      </c>
      <c r="S222" s="23">
        <v>3</v>
      </c>
      <c r="T222" s="2">
        <v>1</v>
      </c>
      <c r="U222" s="2">
        <v>2</v>
      </c>
      <c r="V222" s="2">
        <v>2</v>
      </c>
      <c r="W222" s="2">
        <v>1</v>
      </c>
      <c r="X222" s="2">
        <v>1</v>
      </c>
      <c r="Y222" s="2">
        <v>4</v>
      </c>
      <c r="Z222" s="14">
        <v>0</v>
      </c>
      <c r="AA222" s="6">
        <v>1.017</v>
      </c>
      <c r="AB222" s="1">
        <v>19.6</v>
      </c>
      <c r="AC222" s="1">
        <v>122</v>
      </c>
      <c r="AD222" s="1">
        <v>4.31</v>
      </c>
      <c r="AE222" s="7">
        <v>0.38</v>
      </c>
      <c r="AF222" s="8">
        <v>95.5</v>
      </c>
      <c r="AG222" s="1">
        <v>321</v>
      </c>
      <c r="AH222" s="8">
        <v>10.4</v>
      </c>
      <c r="AI222" s="8">
        <v>32.7</v>
      </c>
      <c r="AJ222" s="9">
        <v>2.49</v>
      </c>
      <c r="AK222" s="8">
        <v>41.2</v>
      </c>
      <c r="AL222" s="8">
        <v>9.8</v>
      </c>
      <c r="AM222" s="8">
        <v>2.4</v>
      </c>
      <c r="AN222" s="9">
        <v>6.7</v>
      </c>
      <c r="AO222" s="8">
        <v>15.9</v>
      </c>
      <c r="AP222" s="9">
        <v>4.3</v>
      </c>
      <c r="AQ222" s="1">
        <v>4.57</v>
      </c>
      <c r="AR222" s="8">
        <v>46.5</v>
      </c>
      <c r="AS222" s="8">
        <v>192</v>
      </c>
      <c r="AT222" s="9">
        <v>5.23</v>
      </c>
      <c r="AU222" s="9">
        <v>0.88</v>
      </c>
      <c r="AV222" s="9">
        <v>2.33</v>
      </c>
      <c r="AW222" s="9">
        <v>1.36</v>
      </c>
      <c r="AX222" s="9">
        <v>4.09</v>
      </c>
      <c r="AY222" s="8">
        <v>141.2</v>
      </c>
      <c r="AZ222" s="8">
        <v>29</v>
      </c>
      <c r="BA222" s="9">
        <v>1.36</v>
      </c>
      <c r="BB222" s="9">
        <v>3.36</v>
      </c>
      <c r="BC222" s="8">
        <v>171.3</v>
      </c>
      <c r="BD222" s="31">
        <v>3108</v>
      </c>
      <c r="BE222" s="31">
        <v>1</v>
      </c>
    </row>
    <row r="223" ht="15.6" spans="1:57">
      <c r="A223" s="14">
        <v>222</v>
      </c>
      <c r="B223" s="2" t="s">
        <v>271</v>
      </c>
      <c r="C223" s="35">
        <v>0</v>
      </c>
      <c r="D223" s="2">
        <v>1</v>
      </c>
      <c r="E223" s="2">
        <v>47</v>
      </c>
      <c r="F223" s="2">
        <v>0</v>
      </c>
      <c r="G223" s="2">
        <v>0</v>
      </c>
      <c r="H223" s="2">
        <v>170</v>
      </c>
      <c r="I223" s="2">
        <v>79</v>
      </c>
      <c r="J223" s="19">
        <f t="shared" si="19"/>
        <v>27.3356401384083</v>
      </c>
      <c r="K223" s="2">
        <v>0.504</v>
      </c>
      <c r="L223" s="2">
        <v>0.401</v>
      </c>
      <c r="M223" s="2">
        <v>0.069</v>
      </c>
      <c r="N223" s="2">
        <v>250</v>
      </c>
      <c r="O223" s="20">
        <f t="shared" si="20"/>
        <v>0.0867231920199501</v>
      </c>
      <c r="P223" s="20">
        <f t="shared" si="21"/>
        <v>1.2568578553616</v>
      </c>
      <c r="Q223" s="20">
        <f t="shared" si="22"/>
        <v>0.0146694936708861</v>
      </c>
      <c r="R223" s="20">
        <f t="shared" si="23"/>
        <v>2.15189873417721</v>
      </c>
      <c r="S223" s="23">
        <v>1</v>
      </c>
      <c r="T223" s="2">
        <v>1</v>
      </c>
      <c r="U223" s="2">
        <v>1</v>
      </c>
      <c r="V223" s="2">
        <v>0</v>
      </c>
      <c r="W223" s="2">
        <v>0</v>
      </c>
      <c r="X223" s="2">
        <v>3</v>
      </c>
      <c r="Y223" s="2">
        <v>1</v>
      </c>
      <c r="Z223" s="14">
        <v>0</v>
      </c>
      <c r="AA223" s="6">
        <v>1.021</v>
      </c>
      <c r="AB223" s="1">
        <v>10.9</v>
      </c>
      <c r="AC223" s="1">
        <v>164</v>
      </c>
      <c r="AD223" s="1">
        <v>5.09</v>
      </c>
      <c r="AE223" s="7">
        <v>0.478</v>
      </c>
      <c r="AF223" s="8">
        <v>86.8</v>
      </c>
      <c r="AG223" s="1">
        <v>342</v>
      </c>
      <c r="AH223" s="8">
        <v>10</v>
      </c>
      <c r="AI223" s="8">
        <v>45.3</v>
      </c>
      <c r="AJ223" s="9">
        <v>3.26</v>
      </c>
      <c r="AK223" s="8">
        <v>43.7</v>
      </c>
      <c r="AL223" s="8">
        <v>18.1</v>
      </c>
      <c r="AM223" s="8">
        <v>5.1</v>
      </c>
      <c r="AN223" s="9">
        <v>16.1</v>
      </c>
      <c r="AO223" s="8">
        <v>48</v>
      </c>
      <c r="AP223" s="9">
        <v>5.26</v>
      </c>
      <c r="AQ223" s="1">
        <v>4.32</v>
      </c>
      <c r="AR223" s="8">
        <v>97.1</v>
      </c>
      <c r="AS223" s="8">
        <v>350.5</v>
      </c>
      <c r="AT223" s="9">
        <v>5.19</v>
      </c>
      <c r="AU223" s="9">
        <v>1.39</v>
      </c>
      <c r="AV223" s="9">
        <v>2.39</v>
      </c>
      <c r="AW223" s="9">
        <v>1.25</v>
      </c>
      <c r="AX223" s="9">
        <v>4.23</v>
      </c>
      <c r="AY223" s="8">
        <v>140.9</v>
      </c>
      <c r="AZ223" s="8">
        <v>29.5</v>
      </c>
      <c r="BA223" s="9">
        <v>0.87</v>
      </c>
      <c r="BB223" s="9">
        <v>3.46</v>
      </c>
      <c r="BC223" s="8">
        <v>161.8</v>
      </c>
      <c r="BD223" s="31">
        <v>3203</v>
      </c>
      <c r="BE223" s="31">
        <v>0</v>
      </c>
    </row>
    <row r="224" ht="15" customHeight="1" spans="1:57">
      <c r="A224" s="14">
        <v>223</v>
      </c>
      <c r="B224" s="2" t="s">
        <v>272</v>
      </c>
      <c r="C224" s="35">
        <v>1</v>
      </c>
      <c r="D224" s="2">
        <v>1</v>
      </c>
      <c r="E224" s="2">
        <v>84</v>
      </c>
      <c r="F224" s="2">
        <v>0</v>
      </c>
      <c r="G224" s="2">
        <v>0</v>
      </c>
      <c r="H224" s="2">
        <v>168</v>
      </c>
      <c r="I224" s="2">
        <v>47</v>
      </c>
      <c r="J224" s="19">
        <f t="shared" si="19"/>
        <v>16.6524943310658</v>
      </c>
      <c r="K224" s="2">
        <v>0.51</v>
      </c>
      <c r="L224" s="2">
        <v>0.19</v>
      </c>
      <c r="M224" s="2">
        <v>0.06</v>
      </c>
      <c r="N224" s="2">
        <v>190</v>
      </c>
      <c r="O224" s="20">
        <f t="shared" si="20"/>
        <v>0.161052631578947</v>
      </c>
      <c r="P224" s="20">
        <f t="shared" si="21"/>
        <v>2.68421052631579</v>
      </c>
      <c r="Q224" s="20">
        <f t="shared" si="22"/>
        <v>0.0114097021276596</v>
      </c>
      <c r="R224" s="20">
        <f t="shared" si="23"/>
        <v>3.57446808510638</v>
      </c>
      <c r="S224" s="23">
        <v>1</v>
      </c>
      <c r="T224" s="2">
        <v>1</v>
      </c>
      <c r="U224" s="2">
        <v>1</v>
      </c>
      <c r="V224" s="2">
        <v>0</v>
      </c>
      <c r="W224" s="2">
        <v>0</v>
      </c>
      <c r="X224" s="2">
        <v>2</v>
      </c>
      <c r="Y224" s="2">
        <v>1</v>
      </c>
      <c r="Z224" s="1">
        <v>0</v>
      </c>
      <c r="AA224" s="6">
        <v>1.007</v>
      </c>
      <c r="AB224" s="1">
        <v>0.5</v>
      </c>
      <c r="AC224" s="1">
        <v>109</v>
      </c>
      <c r="AD224" s="1">
        <v>4.45</v>
      </c>
      <c r="AE224" s="7">
        <v>0.302</v>
      </c>
      <c r="AF224" s="8">
        <v>94.7</v>
      </c>
      <c r="AG224" s="1">
        <v>361</v>
      </c>
      <c r="AH224" s="8">
        <v>8.8</v>
      </c>
      <c r="AI224" s="8">
        <v>30.4</v>
      </c>
      <c r="AJ224" s="9">
        <v>2.71</v>
      </c>
      <c r="AK224" s="8">
        <v>32</v>
      </c>
      <c r="AL224" s="8">
        <v>6.8</v>
      </c>
      <c r="AM224" s="8">
        <v>1.7</v>
      </c>
      <c r="AN224" s="9">
        <v>10.2</v>
      </c>
      <c r="AO224" s="8">
        <v>53.9</v>
      </c>
      <c r="AP224" s="9">
        <v>4.24</v>
      </c>
      <c r="AQ224" s="1">
        <v>5.76</v>
      </c>
      <c r="AR224" s="8">
        <v>85.3</v>
      </c>
      <c r="AS224" s="8">
        <v>199.7</v>
      </c>
      <c r="AT224" s="9">
        <v>4.74</v>
      </c>
      <c r="AU224" s="9">
        <v>0.73</v>
      </c>
      <c r="AV224" s="9">
        <v>2.07</v>
      </c>
      <c r="AW224" s="9">
        <v>1.06</v>
      </c>
      <c r="AX224" s="9">
        <v>4.06</v>
      </c>
      <c r="AY224" s="8">
        <v>134.2</v>
      </c>
      <c r="AZ224" s="8">
        <v>25.5</v>
      </c>
      <c r="BA224" s="9">
        <v>1.93</v>
      </c>
      <c r="BB224" s="9">
        <v>2.49</v>
      </c>
      <c r="BC224" s="8">
        <v>180.6</v>
      </c>
      <c r="BD224" s="10">
        <v>686</v>
      </c>
      <c r="BE224" s="31">
        <v>1</v>
      </c>
    </row>
    <row r="225" ht="15.6" spans="1:57">
      <c r="A225" s="14">
        <v>224</v>
      </c>
      <c r="B225" s="2" t="s">
        <v>273</v>
      </c>
      <c r="C225" s="35">
        <v>0</v>
      </c>
      <c r="D225" s="2">
        <v>2</v>
      </c>
      <c r="E225" s="2">
        <v>43</v>
      </c>
      <c r="F225" s="2">
        <v>0</v>
      </c>
      <c r="G225" s="2">
        <v>0</v>
      </c>
      <c r="H225" s="2">
        <v>160</v>
      </c>
      <c r="I225" s="2">
        <v>65</v>
      </c>
      <c r="J225" s="19">
        <f t="shared" si="19"/>
        <v>25.390625</v>
      </c>
      <c r="K225" s="2">
        <v>0.559</v>
      </c>
      <c r="L225" s="2">
        <v>0.33</v>
      </c>
      <c r="M225" s="2">
        <v>0.072</v>
      </c>
      <c r="N225" s="2">
        <v>138</v>
      </c>
      <c r="O225" s="20">
        <f t="shared" si="20"/>
        <v>0.121963636363636</v>
      </c>
      <c r="P225" s="20">
        <f t="shared" si="21"/>
        <v>1.69393939393939</v>
      </c>
      <c r="Q225" s="20">
        <f t="shared" si="22"/>
        <v>0.0129969230769231</v>
      </c>
      <c r="R225" s="20">
        <f t="shared" si="23"/>
        <v>2.46153846153846</v>
      </c>
      <c r="S225" s="23">
        <v>1</v>
      </c>
      <c r="T225" s="2">
        <v>1</v>
      </c>
      <c r="U225" s="2">
        <v>1</v>
      </c>
      <c r="V225" s="2">
        <v>0</v>
      </c>
      <c r="W225" s="2">
        <v>0</v>
      </c>
      <c r="X225" s="2">
        <v>1</v>
      </c>
      <c r="Y225" s="2">
        <v>1</v>
      </c>
      <c r="Z225" s="14">
        <v>0</v>
      </c>
      <c r="AA225" s="6">
        <v>1.024</v>
      </c>
      <c r="AB225" s="1">
        <v>4.5</v>
      </c>
      <c r="AC225" s="1">
        <v>131</v>
      </c>
      <c r="AD225" s="1">
        <v>4.42</v>
      </c>
      <c r="AE225" s="7">
        <v>0.393</v>
      </c>
      <c r="AF225" s="8">
        <v>86.6</v>
      </c>
      <c r="AG225" s="1">
        <v>333</v>
      </c>
      <c r="AH225" s="8">
        <v>6.5</v>
      </c>
      <c r="AI225" s="8">
        <v>35.4</v>
      </c>
      <c r="AJ225" s="9">
        <v>2.28</v>
      </c>
      <c r="AK225" s="8">
        <v>42.9</v>
      </c>
      <c r="AL225" s="8">
        <v>13.7</v>
      </c>
      <c r="AM225" s="8">
        <v>3.4</v>
      </c>
      <c r="AN225" s="9">
        <v>10.9</v>
      </c>
      <c r="AO225" s="8">
        <v>12</v>
      </c>
      <c r="AP225" s="9">
        <v>5.1</v>
      </c>
      <c r="AQ225" s="1">
        <v>3.73</v>
      </c>
      <c r="AR225" s="8">
        <v>55</v>
      </c>
      <c r="AS225" s="8">
        <v>160.1</v>
      </c>
      <c r="AT225" s="9">
        <v>4.59</v>
      </c>
      <c r="AU225" s="9">
        <v>0.68</v>
      </c>
      <c r="AV225" s="9">
        <v>2.23</v>
      </c>
      <c r="AW225" s="9">
        <v>1.39</v>
      </c>
      <c r="AX225" s="9">
        <v>3.91</v>
      </c>
      <c r="AY225" s="8">
        <v>142.4</v>
      </c>
      <c r="AZ225" s="8">
        <v>23.5</v>
      </c>
      <c r="BA225" s="9">
        <v>1.22</v>
      </c>
      <c r="BB225" s="9">
        <v>2.84</v>
      </c>
      <c r="BC225" s="8">
        <v>189.6</v>
      </c>
      <c r="BD225" s="10">
        <v>3146</v>
      </c>
      <c r="BE225" s="32">
        <v>0</v>
      </c>
    </row>
    <row r="229" ht="15" customHeight="1"/>
  </sheetData>
  <autoFilter ref="A1:BC225">
    <extLst/>
  </autoFilter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C1" rgbClr="4FCAA8"/>
    <comment s:ref="D1" rgbClr="DAC570"/>
    <comment s:ref="F1" rgbClr="CFC85C"/>
    <comment s:ref="G1" rgbClr="CFC85C"/>
    <comment s:ref="K1" rgbClr="4FCAA8"/>
    <comment s:ref="L1" rgbClr="4FCAA8"/>
    <comment s:ref="M1" rgbClr="73C384"/>
    <comment s:ref="O1" rgbClr="73C384"/>
    <comment s:ref="P1" rgbClr="73C384"/>
    <comment s:ref="Q1" rgbClr="CFC85C"/>
    <comment s:ref="R1" rgbClr="CFC85C"/>
    <comment s:ref="S1" rgbClr="CFC85C"/>
    <comment s:ref="T1" rgbClr="4FCAA8"/>
    <comment s:ref="U1" rgbClr="CFC85C"/>
    <comment s:ref="V1" rgbClr="CFC85C"/>
    <comment s:ref="W1" rgbClr="DAC570"/>
    <comment s:ref="X1" rgbClr="DAC570"/>
    <comment s:ref="Y1" rgbClr="DAC570"/>
    <comment s:ref="Z1" rgbClr="CFC85C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李粮博</dc:creator>
  <cp:lastModifiedBy>一路向前</cp:lastModifiedBy>
  <dcterms:created xsi:type="dcterms:W3CDTF">2022-05-18T11:47:00Z</dcterms:created>
  <dcterms:modified xsi:type="dcterms:W3CDTF">2022-05-24T12:57:35Z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E4E99E8135C94FA7AE1EE7E61D3E660A</vt:lpwstr>
  </property>
  <property fmtid="{D5CDD505-2E9C-101B-9397-08002B2CF9AE}" pid="3" name="KSOProductBuildVer">
    <vt:lpwstr>2052-11.1.0.11744</vt:lpwstr>
  </property>
</Properties>
</file>